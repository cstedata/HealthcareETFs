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\Data\Healthcare\"/>
    </mc:Choice>
  </mc:AlternateContent>
  <xr:revisionPtr revIDLastSave="0" documentId="13_ncr:1_{ABEFD2E2-AC9E-4269-857F-FB617F158500}" xr6:coauthVersionLast="47" xr6:coauthVersionMax="47" xr10:uidLastSave="{00000000-0000-0000-0000-000000000000}"/>
  <bookViews>
    <workbookView xWindow="-120" yWindow="-120" windowWidth="20730" windowHeight="11160" tabRatio="623" activeTab="2" xr2:uid="{D182B82F-2BC4-4E20-BA01-287ECBCFA2E1}"/>
  </bookViews>
  <sheets>
    <sheet name="About" sheetId="31" r:id="rId1"/>
    <sheet name="Assumptions" sheetId="32" r:id="rId2"/>
    <sheet name="Fund Allocation" sheetId="29" r:id="rId3"/>
    <sheet name="CURE" sheetId="9" r:id="rId4"/>
    <sheet name="IHF" sheetId="10" r:id="rId5"/>
    <sheet name="IHI" sheetId="11" r:id="rId6"/>
    <sheet name="RXL" sheetId="12" r:id="rId7"/>
    <sheet name="XLV" sheetId="13" r:id="rId8"/>
    <sheet name="Market Return" sheetId="25" r:id="rId9"/>
  </sheets>
  <definedNames>
    <definedName name="_xlnm._FilterDatabase" localSheetId="2" hidden="1">'Fund Allocation'!$D$8:$J$13</definedName>
    <definedName name="SheetNames">REPLACE(GET.WORKBOOK(1),1,FIND("]",GET.WORKBOOK(1)),"")</definedName>
    <definedName name="solver_adj" localSheetId="2" hidden="1">'Fund Allocation'!$M$8:$Q$8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'Fund Allocation'!$R$8</definedName>
    <definedName name="solver_lhs2" localSheetId="2" hidden="1">'Fund Allocation'!$S$11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'Fund Allocation'!$S$12</definedName>
    <definedName name="solver_pre" localSheetId="2" hidden="1">0.000001</definedName>
    <definedName name="solver_rbv" localSheetId="2" hidden="1">2</definedName>
    <definedName name="solver_rel1" localSheetId="2" hidden="1">2</definedName>
    <definedName name="solver_rel2" localSheetId="2" hidden="1">3</definedName>
    <definedName name="solver_rhs1" localSheetId="2" hidden="1">1</definedName>
    <definedName name="solver_rhs2" localSheetId="2" hidden="1">'Fund Allocation'!$N$5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OC">About!$D$9</definedName>
  </definedNames>
  <calcPr calcId="181029" calcMode="autoNoTable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1" l="1"/>
  <c r="Q12" i="29"/>
  <c r="N5" i="29"/>
  <c r="H8" i="10"/>
  <c r="G16" i="31"/>
  <c r="G19" i="31"/>
  <c r="G18" i="31"/>
  <c r="G17" i="31"/>
  <c r="G15" i="31"/>
  <c r="D4" i="25"/>
  <c r="D4" i="13"/>
  <c r="D4" i="12"/>
  <c r="D4" i="11"/>
  <c r="D4" i="10"/>
  <c r="D4" i="9"/>
  <c r="D4" i="29"/>
  <c r="D4" i="32"/>
  <c r="H7" i="10"/>
  <c r="H7" i="11"/>
  <c r="H7" i="12"/>
  <c r="H7" i="13"/>
  <c r="H7" i="9"/>
  <c r="AF15" i="29"/>
  <c r="AG15" i="29"/>
  <c r="AH15" i="29"/>
  <c r="AI15" i="29"/>
  <c r="AE15" i="29"/>
  <c r="F22" i="31"/>
  <c r="F11" i="31"/>
  <c r="F10" i="31"/>
  <c r="G7" i="31" l="1" a="1"/>
  <c r="G7" i="31" s="1"/>
  <c r="F13" i="32" s="1"/>
  <c r="I13" i="25"/>
  <c r="F21" i="32" s="1"/>
  <c r="F17" i="31"/>
  <c r="F16" i="31"/>
  <c r="F19" i="31"/>
  <c r="F12" i="31"/>
  <c r="F15" i="31"/>
  <c r="F18" i="31"/>
  <c r="R16" i="29" l="1"/>
  <c r="R15" i="29"/>
  <c r="E13" i="29"/>
  <c r="E9" i="29"/>
  <c r="E10" i="29"/>
  <c r="E12" i="29"/>
  <c r="E11" i="29"/>
  <c r="U12" i="29"/>
  <c r="R1014" i="29"/>
  <c r="S1014" i="29" s="1"/>
  <c r="R1013" i="29"/>
  <c r="S1013" i="29" s="1"/>
  <c r="R1012" i="29"/>
  <c r="S1012" i="29" s="1"/>
  <c r="R1011" i="29"/>
  <c r="S1011" i="29" s="1"/>
  <c r="R1010" i="29"/>
  <c r="S1010" i="29" s="1"/>
  <c r="R1009" i="29"/>
  <c r="S1009" i="29" s="1"/>
  <c r="R1008" i="29"/>
  <c r="S1008" i="29" s="1"/>
  <c r="R1007" i="29"/>
  <c r="S1007" i="29" s="1"/>
  <c r="R1006" i="29"/>
  <c r="S1006" i="29" s="1"/>
  <c r="R1005" i="29"/>
  <c r="S1005" i="29" s="1"/>
  <c r="R1004" i="29"/>
  <c r="S1004" i="29" s="1"/>
  <c r="R1003" i="29"/>
  <c r="S1003" i="29" s="1"/>
  <c r="R1002" i="29"/>
  <c r="S1002" i="29" s="1"/>
  <c r="R1001" i="29"/>
  <c r="S1001" i="29" s="1"/>
  <c r="R1000" i="29"/>
  <c r="S1000" i="29" s="1"/>
  <c r="R999" i="29"/>
  <c r="S999" i="29" s="1"/>
  <c r="R998" i="29"/>
  <c r="S998" i="29" s="1"/>
  <c r="R997" i="29"/>
  <c r="S997" i="29" s="1"/>
  <c r="R996" i="29"/>
  <c r="S996" i="29" s="1"/>
  <c r="R995" i="29"/>
  <c r="S995" i="29" s="1"/>
  <c r="R994" i="29"/>
  <c r="S994" i="29" s="1"/>
  <c r="R993" i="29"/>
  <c r="S993" i="29" s="1"/>
  <c r="R992" i="29"/>
  <c r="S992" i="29" s="1"/>
  <c r="R991" i="29"/>
  <c r="S991" i="29" s="1"/>
  <c r="R990" i="29"/>
  <c r="S990" i="29" s="1"/>
  <c r="R989" i="29"/>
  <c r="S989" i="29" s="1"/>
  <c r="R988" i="29"/>
  <c r="S988" i="29" s="1"/>
  <c r="R987" i="29"/>
  <c r="S987" i="29" s="1"/>
  <c r="R986" i="29"/>
  <c r="S986" i="29" s="1"/>
  <c r="R985" i="29"/>
  <c r="S985" i="29" s="1"/>
  <c r="R984" i="29"/>
  <c r="S984" i="29" s="1"/>
  <c r="R983" i="29"/>
  <c r="S983" i="29" s="1"/>
  <c r="R982" i="29"/>
  <c r="S982" i="29" s="1"/>
  <c r="R981" i="29"/>
  <c r="S981" i="29" s="1"/>
  <c r="R980" i="29"/>
  <c r="S980" i="29" s="1"/>
  <c r="R979" i="29"/>
  <c r="S979" i="29" s="1"/>
  <c r="R978" i="29"/>
  <c r="S978" i="29" s="1"/>
  <c r="R977" i="29"/>
  <c r="S977" i="29" s="1"/>
  <c r="R976" i="29"/>
  <c r="S976" i="29" s="1"/>
  <c r="R975" i="29"/>
  <c r="S975" i="29" s="1"/>
  <c r="R974" i="29"/>
  <c r="S974" i="29" s="1"/>
  <c r="R973" i="29"/>
  <c r="S973" i="29" s="1"/>
  <c r="R972" i="29"/>
  <c r="S972" i="29" s="1"/>
  <c r="R971" i="29"/>
  <c r="S971" i="29" s="1"/>
  <c r="R970" i="29"/>
  <c r="S970" i="29" s="1"/>
  <c r="R969" i="29"/>
  <c r="S969" i="29" s="1"/>
  <c r="R968" i="29"/>
  <c r="S968" i="29" s="1"/>
  <c r="R967" i="29"/>
  <c r="S967" i="29" s="1"/>
  <c r="R966" i="29"/>
  <c r="S966" i="29" s="1"/>
  <c r="R965" i="29"/>
  <c r="S965" i="29" s="1"/>
  <c r="R964" i="29"/>
  <c r="S964" i="29" s="1"/>
  <c r="R963" i="29"/>
  <c r="S963" i="29" s="1"/>
  <c r="R962" i="29"/>
  <c r="S962" i="29" s="1"/>
  <c r="R961" i="29"/>
  <c r="S961" i="29" s="1"/>
  <c r="R960" i="29"/>
  <c r="S960" i="29" s="1"/>
  <c r="R959" i="29"/>
  <c r="S959" i="29" s="1"/>
  <c r="R958" i="29"/>
  <c r="S958" i="29" s="1"/>
  <c r="R957" i="29"/>
  <c r="S957" i="29" s="1"/>
  <c r="R956" i="29"/>
  <c r="S956" i="29" s="1"/>
  <c r="R955" i="29"/>
  <c r="S955" i="29" s="1"/>
  <c r="R954" i="29"/>
  <c r="S954" i="29" s="1"/>
  <c r="R953" i="29"/>
  <c r="S953" i="29" s="1"/>
  <c r="R952" i="29"/>
  <c r="S952" i="29" s="1"/>
  <c r="R951" i="29"/>
  <c r="S951" i="29" s="1"/>
  <c r="R950" i="29"/>
  <c r="S950" i="29" s="1"/>
  <c r="R949" i="29"/>
  <c r="S949" i="29" s="1"/>
  <c r="R948" i="29"/>
  <c r="S948" i="29" s="1"/>
  <c r="R947" i="29"/>
  <c r="S947" i="29" s="1"/>
  <c r="R946" i="29"/>
  <c r="S946" i="29" s="1"/>
  <c r="R945" i="29"/>
  <c r="S945" i="29" s="1"/>
  <c r="R944" i="29"/>
  <c r="S944" i="29" s="1"/>
  <c r="R943" i="29"/>
  <c r="S943" i="29" s="1"/>
  <c r="R942" i="29"/>
  <c r="S942" i="29" s="1"/>
  <c r="R941" i="29"/>
  <c r="S941" i="29" s="1"/>
  <c r="R940" i="29"/>
  <c r="S940" i="29" s="1"/>
  <c r="R939" i="29"/>
  <c r="S939" i="29" s="1"/>
  <c r="R938" i="29"/>
  <c r="S938" i="29" s="1"/>
  <c r="R937" i="29"/>
  <c r="S937" i="29" s="1"/>
  <c r="R936" i="29"/>
  <c r="S936" i="29" s="1"/>
  <c r="R935" i="29"/>
  <c r="S935" i="29" s="1"/>
  <c r="R934" i="29"/>
  <c r="S934" i="29" s="1"/>
  <c r="R933" i="29"/>
  <c r="S933" i="29" s="1"/>
  <c r="R932" i="29"/>
  <c r="S932" i="29" s="1"/>
  <c r="R931" i="29"/>
  <c r="S931" i="29" s="1"/>
  <c r="R930" i="29"/>
  <c r="S930" i="29" s="1"/>
  <c r="R929" i="29"/>
  <c r="S929" i="29" s="1"/>
  <c r="R928" i="29"/>
  <c r="S928" i="29" s="1"/>
  <c r="R927" i="29"/>
  <c r="S927" i="29" s="1"/>
  <c r="R926" i="29"/>
  <c r="S926" i="29" s="1"/>
  <c r="R925" i="29"/>
  <c r="S925" i="29" s="1"/>
  <c r="R924" i="29"/>
  <c r="S924" i="29" s="1"/>
  <c r="R923" i="29"/>
  <c r="S923" i="29" s="1"/>
  <c r="R922" i="29"/>
  <c r="S922" i="29" s="1"/>
  <c r="R921" i="29"/>
  <c r="S921" i="29" s="1"/>
  <c r="R920" i="29"/>
  <c r="S920" i="29" s="1"/>
  <c r="R919" i="29"/>
  <c r="S919" i="29" s="1"/>
  <c r="R918" i="29"/>
  <c r="S918" i="29" s="1"/>
  <c r="R917" i="29"/>
  <c r="S917" i="29" s="1"/>
  <c r="R916" i="29"/>
  <c r="S916" i="29" s="1"/>
  <c r="R915" i="29"/>
  <c r="S915" i="29" s="1"/>
  <c r="R914" i="29"/>
  <c r="S914" i="29" s="1"/>
  <c r="R913" i="29"/>
  <c r="S913" i="29" s="1"/>
  <c r="R912" i="29"/>
  <c r="S912" i="29" s="1"/>
  <c r="R911" i="29"/>
  <c r="S911" i="29" s="1"/>
  <c r="R910" i="29"/>
  <c r="S910" i="29" s="1"/>
  <c r="R909" i="29"/>
  <c r="S909" i="29" s="1"/>
  <c r="R908" i="29"/>
  <c r="S908" i="29" s="1"/>
  <c r="R907" i="29"/>
  <c r="S907" i="29" s="1"/>
  <c r="R906" i="29"/>
  <c r="S906" i="29" s="1"/>
  <c r="R905" i="29"/>
  <c r="S905" i="29" s="1"/>
  <c r="R904" i="29"/>
  <c r="S904" i="29" s="1"/>
  <c r="R903" i="29"/>
  <c r="S903" i="29" s="1"/>
  <c r="R902" i="29"/>
  <c r="S902" i="29" s="1"/>
  <c r="R901" i="29"/>
  <c r="S901" i="29" s="1"/>
  <c r="R900" i="29"/>
  <c r="S900" i="29" s="1"/>
  <c r="R899" i="29"/>
  <c r="S899" i="29" s="1"/>
  <c r="R898" i="29"/>
  <c r="S898" i="29" s="1"/>
  <c r="R897" i="29"/>
  <c r="S897" i="29" s="1"/>
  <c r="R896" i="29"/>
  <c r="S896" i="29" s="1"/>
  <c r="R895" i="29"/>
  <c r="S895" i="29" s="1"/>
  <c r="R894" i="29"/>
  <c r="S894" i="29" s="1"/>
  <c r="R893" i="29"/>
  <c r="S893" i="29" s="1"/>
  <c r="R892" i="29"/>
  <c r="S892" i="29" s="1"/>
  <c r="R891" i="29"/>
  <c r="S891" i="29" s="1"/>
  <c r="R890" i="29"/>
  <c r="S890" i="29" s="1"/>
  <c r="R889" i="29"/>
  <c r="S889" i="29" s="1"/>
  <c r="R888" i="29"/>
  <c r="S888" i="29" s="1"/>
  <c r="R887" i="29"/>
  <c r="S887" i="29" s="1"/>
  <c r="R886" i="29"/>
  <c r="S886" i="29" s="1"/>
  <c r="R885" i="29"/>
  <c r="S885" i="29" s="1"/>
  <c r="R884" i="29"/>
  <c r="S884" i="29" s="1"/>
  <c r="R883" i="29"/>
  <c r="S883" i="29" s="1"/>
  <c r="R882" i="29"/>
  <c r="S882" i="29" s="1"/>
  <c r="R881" i="29"/>
  <c r="S881" i="29" s="1"/>
  <c r="R880" i="29"/>
  <c r="S880" i="29" s="1"/>
  <c r="R879" i="29"/>
  <c r="S879" i="29" s="1"/>
  <c r="R878" i="29"/>
  <c r="S878" i="29" s="1"/>
  <c r="R877" i="29"/>
  <c r="S877" i="29" s="1"/>
  <c r="R876" i="29"/>
  <c r="S876" i="29" s="1"/>
  <c r="R875" i="29"/>
  <c r="S875" i="29" s="1"/>
  <c r="R874" i="29"/>
  <c r="S874" i="29" s="1"/>
  <c r="R873" i="29"/>
  <c r="S873" i="29" s="1"/>
  <c r="R872" i="29"/>
  <c r="S872" i="29" s="1"/>
  <c r="R871" i="29"/>
  <c r="S871" i="29" s="1"/>
  <c r="R870" i="29"/>
  <c r="S870" i="29" s="1"/>
  <c r="R869" i="29"/>
  <c r="S869" i="29" s="1"/>
  <c r="R868" i="29"/>
  <c r="S868" i="29" s="1"/>
  <c r="R867" i="29"/>
  <c r="S867" i="29" s="1"/>
  <c r="R866" i="29"/>
  <c r="S866" i="29" s="1"/>
  <c r="R865" i="29"/>
  <c r="S865" i="29" s="1"/>
  <c r="R864" i="29"/>
  <c r="S864" i="29" s="1"/>
  <c r="R863" i="29"/>
  <c r="S863" i="29" s="1"/>
  <c r="R862" i="29"/>
  <c r="S862" i="29" s="1"/>
  <c r="R861" i="29"/>
  <c r="S861" i="29" s="1"/>
  <c r="R860" i="29"/>
  <c r="S860" i="29" s="1"/>
  <c r="R859" i="29"/>
  <c r="S859" i="29" s="1"/>
  <c r="R858" i="29"/>
  <c r="S858" i="29" s="1"/>
  <c r="R857" i="29"/>
  <c r="S857" i="29" s="1"/>
  <c r="R856" i="29"/>
  <c r="S856" i="29" s="1"/>
  <c r="R855" i="29"/>
  <c r="S855" i="29" s="1"/>
  <c r="R854" i="29"/>
  <c r="S854" i="29" s="1"/>
  <c r="R853" i="29"/>
  <c r="S853" i="29" s="1"/>
  <c r="R852" i="29"/>
  <c r="S852" i="29" s="1"/>
  <c r="R851" i="29"/>
  <c r="S851" i="29" s="1"/>
  <c r="R850" i="29"/>
  <c r="S850" i="29" s="1"/>
  <c r="R849" i="29"/>
  <c r="S849" i="29" s="1"/>
  <c r="R848" i="29"/>
  <c r="S848" i="29" s="1"/>
  <c r="R847" i="29"/>
  <c r="S847" i="29" s="1"/>
  <c r="R846" i="29"/>
  <c r="S846" i="29" s="1"/>
  <c r="R845" i="29"/>
  <c r="S845" i="29" s="1"/>
  <c r="R844" i="29"/>
  <c r="S844" i="29" s="1"/>
  <c r="R843" i="29"/>
  <c r="S843" i="29" s="1"/>
  <c r="R842" i="29"/>
  <c r="S842" i="29" s="1"/>
  <c r="R841" i="29"/>
  <c r="S841" i="29" s="1"/>
  <c r="R840" i="29"/>
  <c r="S840" i="29" s="1"/>
  <c r="R839" i="29"/>
  <c r="S839" i="29" s="1"/>
  <c r="R838" i="29"/>
  <c r="S838" i="29" s="1"/>
  <c r="R837" i="29"/>
  <c r="S837" i="29" s="1"/>
  <c r="R836" i="29"/>
  <c r="S836" i="29" s="1"/>
  <c r="R835" i="29"/>
  <c r="S835" i="29" s="1"/>
  <c r="R834" i="29"/>
  <c r="S834" i="29" s="1"/>
  <c r="R833" i="29"/>
  <c r="S833" i="29" s="1"/>
  <c r="R832" i="29"/>
  <c r="S832" i="29" s="1"/>
  <c r="R831" i="29"/>
  <c r="S831" i="29" s="1"/>
  <c r="R830" i="29"/>
  <c r="S830" i="29" s="1"/>
  <c r="R829" i="29"/>
  <c r="S829" i="29" s="1"/>
  <c r="R828" i="29"/>
  <c r="S828" i="29" s="1"/>
  <c r="R827" i="29"/>
  <c r="S827" i="29" s="1"/>
  <c r="R826" i="29"/>
  <c r="S826" i="29" s="1"/>
  <c r="R825" i="29"/>
  <c r="S825" i="29" s="1"/>
  <c r="R824" i="29"/>
  <c r="S824" i="29" s="1"/>
  <c r="R823" i="29"/>
  <c r="S823" i="29" s="1"/>
  <c r="R822" i="29"/>
  <c r="S822" i="29" s="1"/>
  <c r="R821" i="29"/>
  <c r="S821" i="29" s="1"/>
  <c r="R820" i="29"/>
  <c r="S820" i="29" s="1"/>
  <c r="R819" i="29"/>
  <c r="S819" i="29" s="1"/>
  <c r="R818" i="29"/>
  <c r="S818" i="29" s="1"/>
  <c r="R817" i="29"/>
  <c r="S817" i="29" s="1"/>
  <c r="R816" i="29"/>
  <c r="S816" i="29" s="1"/>
  <c r="R815" i="29"/>
  <c r="S815" i="29" s="1"/>
  <c r="R814" i="29"/>
  <c r="S814" i="29" s="1"/>
  <c r="R813" i="29"/>
  <c r="S813" i="29" s="1"/>
  <c r="R812" i="29"/>
  <c r="S812" i="29" s="1"/>
  <c r="R811" i="29"/>
  <c r="S811" i="29" s="1"/>
  <c r="R810" i="29"/>
  <c r="S810" i="29" s="1"/>
  <c r="R809" i="29"/>
  <c r="S809" i="29" s="1"/>
  <c r="R808" i="29"/>
  <c r="S808" i="29" s="1"/>
  <c r="R807" i="29"/>
  <c r="S807" i="29" s="1"/>
  <c r="R806" i="29"/>
  <c r="S806" i="29" s="1"/>
  <c r="R805" i="29"/>
  <c r="S805" i="29" s="1"/>
  <c r="R804" i="29"/>
  <c r="S804" i="29" s="1"/>
  <c r="R803" i="29"/>
  <c r="S803" i="29" s="1"/>
  <c r="R802" i="29"/>
  <c r="S802" i="29" s="1"/>
  <c r="R801" i="29"/>
  <c r="S801" i="29" s="1"/>
  <c r="R800" i="29"/>
  <c r="S800" i="29" s="1"/>
  <c r="R799" i="29"/>
  <c r="S799" i="29" s="1"/>
  <c r="R798" i="29"/>
  <c r="S798" i="29" s="1"/>
  <c r="R797" i="29"/>
  <c r="S797" i="29" s="1"/>
  <c r="R796" i="29"/>
  <c r="S796" i="29" s="1"/>
  <c r="R795" i="29"/>
  <c r="S795" i="29" s="1"/>
  <c r="R794" i="29"/>
  <c r="S794" i="29" s="1"/>
  <c r="R793" i="29"/>
  <c r="S793" i="29" s="1"/>
  <c r="R792" i="29"/>
  <c r="S792" i="29" s="1"/>
  <c r="R791" i="29"/>
  <c r="S791" i="29" s="1"/>
  <c r="R790" i="29"/>
  <c r="S790" i="29" s="1"/>
  <c r="R789" i="29"/>
  <c r="S789" i="29" s="1"/>
  <c r="R788" i="29"/>
  <c r="S788" i="29" s="1"/>
  <c r="R787" i="29"/>
  <c r="S787" i="29" s="1"/>
  <c r="R786" i="29"/>
  <c r="S786" i="29" s="1"/>
  <c r="R785" i="29"/>
  <c r="S785" i="29" s="1"/>
  <c r="R784" i="29"/>
  <c r="S784" i="29" s="1"/>
  <c r="R783" i="29"/>
  <c r="S783" i="29" s="1"/>
  <c r="R782" i="29"/>
  <c r="S782" i="29" s="1"/>
  <c r="R781" i="29"/>
  <c r="S781" i="29" s="1"/>
  <c r="R780" i="29"/>
  <c r="S780" i="29" s="1"/>
  <c r="R779" i="29"/>
  <c r="S779" i="29" s="1"/>
  <c r="R778" i="29"/>
  <c r="S778" i="29" s="1"/>
  <c r="R777" i="29"/>
  <c r="S777" i="29" s="1"/>
  <c r="R776" i="29"/>
  <c r="S776" i="29" s="1"/>
  <c r="R775" i="29"/>
  <c r="S775" i="29" s="1"/>
  <c r="R774" i="29"/>
  <c r="S774" i="29" s="1"/>
  <c r="R773" i="29"/>
  <c r="S773" i="29" s="1"/>
  <c r="R772" i="29"/>
  <c r="S772" i="29" s="1"/>
  <c r="R771" i="29"/>
  <c r="S771" i="29" s="1"/>
  <c r="R770" i="29"/>
  <c r="S770" i="29" s="1"/>
  <c r="R769" i="29"/>
  <c r="S769" i="29" s="1"/>
  <c r="R768" i="29"/>
  <c r="S768" i="29" s="1"/>
  <c r="R767" i="29"/>
  <c r="S767" i="29" s="1"/>
  <c r="R766" i="29"/>
  <c r="S766" i="29" s="1"/>
  <c r="R765" i="29"/>
  <c r="S765" i="29" s="1"/>
  <c r="R764" i="29"/>
  <c r="S764" i="29" s="1"/>
  <c r="R763" i="29"/>
  <c r="S763" i="29" s="1"/>
  <c r="R762" i="29"/>
  <c r="S762" i="29" s="1"/>
  <c r="R761" i="29"/>
  <c r="S761" i="29" s="1"/>
  <c r="R760" i="29"/>
  <c r="S760" i="29" s="1"/>
  <c r="R759" i="29"/>
  <c r="S759" i="29" s="1"/>
  <c r="R758" i="29"/>
  <c r="S758" i="29" s="1"/>
  <c r="R757" i="29"/>
  <c r="S757" i="29" s="1"/>
  <c r="R756" i="29"/>
  <c r="S756" i="29" s="1"/>
  <c r="R755" i="29"/>
  <c r="S755" i="29" s="1"/>
  <c r="R754" i="29"/>
  <c r="S754" i="29" s="1"/>
  <c r="R753" i="29"/>
  <c r="S753" i="29" s="1"/>
  <c r="R752" i="29"/>
  <c r="S752" i="29" s="1"/>
  <c r="R751" i="29"/>
  <c r="S751" i="29" s="1"/>
  <c r="R750" i="29"/>
  <c r="S750" i="29" s="1"/>
  <c r="R749" i="29"/>
  <c r="S749" i="29" s="1"/>
  <c r="R748" i="29"/>
  <c r="S748" i="29" s="1"/>
  <c r="R747" i="29"/>
  <c r="S747" i="29" s="1"/>
  <c r="R746" i="29"/>
  <c r="S746" i="29" s="1"/>
  <c r="R745" i="29"/>
  <c r="S745" i="29" s="1"/>
  <c r="R744" i="29"/>
  <c r="S744" i="29" s="1"/>
  <c r="R743" i="29"/>
  <c r="S743" i="29" s="1"/>
  <c r="R742" i="29"/>
  <c r="S742" i="29" s="1"/>
  <c r="R741" i="29"/>
  <c r="S741" i="29" s="1"/>
  <c r="R740" i="29"/>
  <c r="S740" i="29" s="1"/>
  <c r="R739" i="29"/>
  <c r="S739" i="29" s="1"/>
  <c r="R738" i="29"/>
  <c r="S738" i="29" s="1"/>
  <c r="R737" i="29"/>
  <c r="S737" i="29" s="1"/>
  <c r="R736" i="29"/>
  <c r="S736" i="29" s="1"/>
  <c r="R735" i="29"/>
  <c r="S735" i="29" s="1"/>
  <c r="R734" i="29"/>
  <c r="S734" i="29" s="1"/>
  <c r="R733" i="29"/>
  <c r="S733" i="29" s="1"/>
  <c r="R732" i="29"/>
  <c r="S732" i="29" s="1"/>
  <c r="R731" i="29"/>
  <c r="S731" i="29" s="1"/>
  <c r="R730" i="29"/>
  <c r="S730" i="29" s="1"/>
  <c r="R729" i="29"/>
  <c r="S729" i="29" s="1"/>
  <c r="R728" i="29"/>
  <c r="S728" i="29" s="1"/>
  <c r="R727" i="29"/>
  <c r="S727" i="29" s="1"/>
  <c r="R726" i="29"/>
  <c r="S726" i="29" s="1"/>
  <c r="R725" i="29"/>
  <c r="S725" i="29" s="1"/>
  <c r="R724" i="29"/>
  <c r="S724" i="29" s="1"/>
  <c r="R723" i="29"/>
  <c r="S723" i="29" s="1"/>
  <c r="R722" i="29"/>
  <c r="S722" i="29" s="1"/>
  <c r="R721" i="29"/>
  <c r="S721" i="29" s="1"/>
  <c r="R720" i="29"/>
  <c r="S720" i="29" s="1"/>
  <c r="R719" i="29"/>
  <c r="S719" i="29" s="1"/>
  <c r="R718" i="29"/>
  <c r="S718" i="29" s="1"/>
  <c r="R717" i="29"/>
  <c r="S717" i="29" s="1"/>
  <c r="R716" i="29"/>
  <c r="S716" i="29" s="1"/>
  <c r="R715" i="29"/>
  <c r="S715" i="29" s="1"/>
  <c r="R714" i="29"/>
  <c r="S714" i="29" s="1"/>
  <c r="R713" i="29"/>
  <c r="S713" i="29" s="1"/>
  <c r="R712" i="29"/>
  <c r="S712" i="29" s="1"/>
  <c r="R711" i="29"/>
  <c r="S711" i="29" s="1"/>
  <c r="R710" i="29"/>
  <c r="S710" i="29" s="1"/>
  <c r="R709" i="29"/>
  <c r="S709" i="29" s="1"/>
  <c r="R708" i="29"/>
  <c r="S708" i="29" s="1"/>
  <c r="R707" i="29"/>
  <c r="S707" i="29" s="1"/>
  <c r="R706" i="29"/>
  <c r="S706" i="29" s="1"/>
  <c r="R705" i="29"/>
  <c r="S705" i="29" s="1"/>
  <c r="R704" i="29"/>
  <c r="S704" i="29" s="1"/>
  <c r="R703" i="29"/>
  <c r="S703" i="29" s="1"/>
  <c r="R702" i="29"/>
  <c r="S702" i="29" s="1"/>
  <c r="R701" i="29"/>
  <c r="S701" i="29" s="1"/>
  <c r="R700" i="29"/>
  <c r="S700" i="29" s="1"/>
  <c r="R699" i="29"/>
  <c r="S699" i="29" s="1"/>
  <c r="R698" i="29"/>
  <c r="S698" i="29" s="1"/>
  <c r="R697" i="29"/>
  <c r="S697" i="29" s="1"/>
  <c r="R696" i="29"/>
  <c r="S696" i="29" s="1"/>
  <c r="R695" i="29"/>
  <c r="S695" i="29" s="1"/>
  <c r="R694" i="29"/>
  <c r="S694" i="29" s="1"/>
  <c r="R693" i="29"/>
  <c r="S693" i="29" s="1"/>
  <c r="R692" i="29"/>
  <c r="S692" i="29" s="1"/>
  <c r="R691" i="29"/>
  <c r="S691" i="29" s="1"/>
  <c r="R690" i="29"/>
  <c r="S690" i="29" s="1"/>
  <c r="R689" i="29"/>
  <c r="S689" i="29" s="1"/>
  <c r="R688" i="29"/>
  <c r="S688" i="29" s="1"/>
  <c r="R687" i="29"/>
  <c r="S687" i="29" s="1"/>
  <c r="R686" i="29"/>
  <c r="S686" i="29" s="1"/>
  <c r="R685" i="29"/>
  <c r="S685" i="29" s="1"/>
  <c r="R684" i="29"/>
  <c r="S684" i="29" s="1"/>
  <c r="R683" i="29"/>
  <c r="S683" i="29" s="1"/>
  <c r="R682" i="29"/>
  <c r="S682" i="29" s="1"/>
  <c r="R681" i="29"/>
  <c r="S681" i="29" s="1"/>
  <c r="R680" i="29"/>
  <c r="S680" i="29" s="1"/>
  <c r="R679" i="29"/>
  <c r="S679" i="29" s="1"/>
  <c r="R678" i="29"/>
  <c r="S678" i="29" s="1"/>
  <c r="R677" i="29"/>
  <c r="S677" i="29" s="1"/>
  <c r="R676" i="29"/>
  <c r="S676" i="29" s="1"/>
  <c r="R675" i="29"/>
  <c r="S675" i="29" s="1"/>
  <c r="R674" i="29"/>
  <c r="S674" i="29" s="1"/>
  <c r="R673" i="29"/>
  <c r="S673" i="29" s="1"/>
  <c r="R672" i="29"/>
  <c r="S672" i="29" s="1"/>
  <c r="R671" i="29"/>
  <c r="S671" i="29" s="1"/>
  <c r="R670" i="29"/>
  <c r="S670" i="29" s="1"/>
  <c r="R669" i="29"/>
  <c r="S669" i="29" s="1"/>
  <c r="R668" i="29"/>
  <c r="S668" i="29" s="1"/>
  <c r="R667" i="29"/>
  <c r="S667" i="29" s="1"/>
  <c r="R666" i="29"/>
  <c r="S666" i="29" s="1"/>
  <c r="R665" i="29"/>
  <c r="S665" i="29" s="1"/>
  <c r="R664" i="29"/>
  <c r="S664" i="29" s="1"/>
  <c r="R663" i="29"/>
  <c r="S663" i="29" s="1"/>
  <c r="R662" i="29"/>
  <c r="S662" i="29" s="1"/>
  <c r="R661" i="29"/>
  <c r="S661" i="29" s="1"/>
  <c r="R660" i="29"/>
  <c r="S660" i="29" s="1"/>
  <c r="R659" i="29"/>
  <c r="S659" i="29" s="1"/>
  <c r="R658" i="29"/>
  <c r="S658" i="29" s="1"/>
  <c r="R657" i="29"/>
  <c r="S657" i="29" s="1"/>
  <c r="R656" i="29"/>
  <c r="S656" i="29" s="1"/>
  <c r="R655" i="29"/>
  <c r="S655" i="29" s="1"/>
  <c r="R654" i="29"/>
  <c r="S654" i="29" s="1"/>
  <c r="R653" i="29"/>
  <c r="S653" i="29" s="1"/>
  <c r="R652" i="29"/>
  <c r="S652" i="29" s="1"/>
  <c r="R651" i="29"/>
  <c r="S651" i="29" s="1"/>
  <c r="R650" i="29"/>
  <c r="S650" i="29" s="1"/>
  <c r="R649" i="29"/>
  <c r="S649" i="29" s="1"/>
  <c r="R648" i="29"/>
  <c r="S648" i="29" s="1"/>
  <c r="R647" i="29"/>
  <c r="S647" i="29" s="1"/>
  <c r="R646" i="29"/>
  <c r="S646" i="29" s="1"/>
  <c r="R645" i="29"/>
  <c r="S645" i="29" s="1"/>
  <c r="R644" i="29"/>
  <c r="S644" i="29" s="1"/>
  <c r="R643" i="29"/>
  <c r="S643" i="29" s="1"/>
  <c r="R642" i="29"/>
  <c r="S642" i="29" s="1"/>
  <c r="R641" i="29"/>
  <c r="S641" i="29" s="1"/>
  <c r="R640" i="29"/>
  <c r="S640" i="29" s="1"/>
  <c r="R639" i="29"/>
  <c r="S639" i="29" s="1"/>
  <c r="R638" i="29"/>
  <c r="S638" i="29" s="1"/>
  <c r="R637" i="29"/>
  <c r="S637" i="29" s="1"/>
  <c r="R636" i="29"/>
  <c r="S636" i="29" s="1"/>
  <c r="R635" i="29"/>
  <c r="S635" i="29" s="1"/>
  <c r="R634" i="29"/>
  <c r="S634" i="29" s="1"/>
  <c r="R633" i="29"/>
  <c r="S633" i="29" s="1"/>
  <c r="R632" i="29"/>
  <c r="S632" i="29" s="1"/>
  <c r="R631" i="29"/>
  <c r="S631" i="29" s="1"/>
  <c r="R630" i="29"/>
  <c r="S630" i="29" s="1"/>
  <c r="R629" i="29"/>
  <c r="S629" i="29" s="1"/>
  <c r="R628" i="29"/>
  <c r="S628" i="29" s="1"/>
  <c r="R627" i="29"/>
  <c r="S627" i="29" s="1"/>
  <c r="R626" i="29"/>
  <c r="S626" i="29" s="1"/>
  <c r="R625" i="29"/>
  <c r="S625" i="29" s="1"/>
  <c r="R624" i="29"/>
  <c r="S624" i="29" s="1"/>
  <c r="R623" i="29"/>
  <c r="S623" i="29" s="1"/>
  <c r="R622" i="29"/>
  <c r="S622" i="29" s="1"/>
  <c r="R621" i="29"/>
  <c r="S621" i="29" s="1"/>
  <c r="R620" i="29"/>
  <c r="S620" i="29" s="1"/>
  <c r="R619" i="29"/>
  <c r="S619" i="29" s="1"/>
  <c r="R618" i="29"/>
  <c r="S618" i="29" s="1"/>
  <c r="R617" i="29"/>
  <c r="S617" i="29" s="1"/>
  <c r="R616" i="29"/>
  <c r="S616" i="29" s="1"/>
  <c r="R615" i="29"/>
  <c r="S615" i="29" s="1"/>
  <c r="R614" i="29"/>
  <c r="S614" i="29" s="1"/>
  <c r="R613" i="29"/>
  <c r="S613" i="29" s="1"/>
  <c r="R612" i="29"/>
  <c r="S612" i="29" s="1"/>
  <c r="R611" i="29"/>
  <c r="S611" i="29" s="1"/>
  <c r="R610" i="29"/>
  <c r="S610" i="29" s="1"/>
  <c r="R609" i="29"/>
  <c r="S609" i="29" s="1"/>
  <c r="R608" i="29"/>
  <c r="S608" i="29" s="1"/>
  <c r="R607" i="29"/>
  <c r="S607" i="29" s="1"/>
  <c r="R606" i="29"/>
  <c r="S606" i="29" s="1"/>
  <c r="R605" i="29"/>
  <c r="S605" i="29" s="1"/>
  <c r="R604" i="29"/>
  <c r="S604" i="29" s="1"/>
  <c r="R603" i="29"/>
  <c r="S603" i="29" s="1"/>
  <c r="R602" i="29"/>
  <c r="S602" i="29" s="1"/>
  <c r="R601" i="29"/>
  <c r="S601" i="29" s="1"/>
  <c r="R600" i="29"/>
  <c r="S600" i="29" s="1"/>
  <c r="R599" i="29"/>
  <c r="S599" i="29" s="1"/>
  <c r="R598" i="29"/>
  <c r="S598" i="29" s="1"/>
  <c r="R597" i="29"/>
  <c r="S597" i="29" s="1"/>
  <c r="R596" i="29"/>
  <c r="S596" i="29" s="1"/>
  <c r="R595" i="29"/>
  <c r="S595" i="29" s="1"/>
  <c r="R594" i="29"/>
  <c r="S594" i="29" s="1"/>
  <c r="R593" i="29"/>
  <c r="S593" i="29" s="1"/>
  <c r="R592" i="29"/>
  <c r="S592" i="29" s="1"/>
  <c r="R591" i="29"/>
  <c r="S591" i="29" s="1"/>
  <c r="R590" i="29"/>
  <c r="S590" i="29" s="1"/>
  <c r="R589" i="29"/>
  <c r="S589" i="29" s="1"/>
  <c r="R588" i="29"/>
  <c r="S588" i="29" s="1"/>
  <c r="R587" i="29"/>
  <c r="S587" i="29" s="1"/>
  <c r="R586" i="29"/>
  <c r="S586" i="29" s="1"/>
  <c r="R585" i="29"/>
  <c r="S585" i="29" s="1"/>
  <c r="R584" i="29"/>
  <c r="S584" i="29" s="1"/>
  <c r="R583" i="29"/>
  <c r="S583" i="29" s="1"/>
  <c r="R582" i="29"/>
  <c r="S582" i="29" s="1"/>
  <c r="R581" i="29"/>
  <c r="S581" i="29" s="1"/>
  <c r="R580" i="29"/>
  <c r="S580" i="29" s="1"/>
  <c r="R579" i="29"/>
  <c r="S579" i="29" s="1"/>
  <c r="R578" i="29"/>
  <c r="S578" i="29" s="1"/>
  <c r="R577" i="29"/>
  <c r="S577" i="29" s="1"/>
  <c r="R576" i="29"/>
  <c r="S576" i="29" s="1"/>
  <c r="R575" i="29"/>
  <c r="S575" i="29" s="1"/>
  <c r="R574" i="29"/>
  <c r="S574" i="29" s="1"/>
  <c r="R573" i="29"/>
  <c r="S573" i="29" s="1"/>
  <c r="R572" i="29"/>
  <c r="S572" i="29" s="1"/>
  <c r="R571" i="29"/>
  <c r="S571" i="29" s="1"/>
  <c r="R570" i="29"/>
  <c r="S570" i="29" s="1"/>
  <c r="R569" i="29"/>
  <c r="S569" i="29" s="1"/>
  <c r="R568" i="29"/>
  <c r="S568" i="29" s="1"/>
  <c r="R567" i="29"/>
  <c r="S567" i="29" s="1"/>
  <c r="R566" i="29"/>
  <c r="S566" i="29" s="1"/>
  <c r="R565" i="29"/>
  <c r="S565" i="29" s="1"/>
  <c r="R564" i="29"/>
  <c r="S564" i="29" s="1"/>
  <c r="R563" i="29"/>
  <c r="S563" i="29" s="1"/>
  <c r="R562" i="29"/>
  <c r="S562" i="29" s="1"/>
  <c r="R561" i="29"/>
  <c r="S561" i="29" s="1"/>
  <c r="R560" i="29"/>
  <c r="S560" i="29" s="1"/>
  <c r="R559" i="29"/>
  <c r="S559" i="29" s="1"/>
  <c r="R558" i="29"/>
  <c r="S558" i="29" s="1"/>
  <c r="R557" i="29"/>
  <c r="S557" i="29" s="1"/>
  <c r="R556" i="29"/>
  <c r="S556" i="29" s="1"/>
  <c r="R555" i="29"/>
  <c r="S555" i="29" s="1"/>
  <c r="R554" i="29"/>
  <c r="S554" i="29" s="1"/>
  <c r="R553" i="29"/>
  <c r="S553" i="29" s="1"/>
  <c r="R552" i="29"/>
  <c r="S552" i="29" s="1"/>
  <c r="R551" i="29"/>
  <c r="S551" i="29" s="1"/>
  <c r="R550" i="29"/>
  <c r="S550" i="29" s="1"/>
  <c r="R549" i="29"/>
  <c r="S549" i="29" s="1"/>
  <c r="R548" i="29"/>
  <c r="S548" i="29" s="1"/>
  <c r="R547" i="29"/>
  <c r="S547" i="29" s="1"/>
  <c r="R546" i="29"/>
  <c r="S546" i="29" s="1"/>
  <c r="R545" i="29"/>
  <c r="S545" i="29" s="1"/>
  <c r="R544" i="29"/>
  <c r="S544" i="29" s="1"/>
  <c r="R543" i="29"/>
  <c r="S543" i="29" s="1"/>
  <c r="R542" i="29"/>
  <c r="S542" i="29" s="1"/>
  <c r="R541" i="29"/>
  <c r="S541" i="29" s="1"/>
  <c r="R540" i="29"/>
  <c r="S540" i="29" s="1"/>
  <c r="R539" i="29"/>
  <c r="S539" i="29" s="1"/>
  <c r="R538" i="29"/>
  <c r="S538" i="29" s="1"/>
  <c r="R537" i="29"/>
  <c r="S537" i="29" s="1"/>
  <c r="R536" i="29"/>
  <c r="S536" i="29" s="1"/>
  <c r="R535" i="29"/>
  <c r="S535" i="29" s="1"/>
  <c r="R534" i="29"/>
  <c r="S534" i="29" s="1"/>
  <c r="R533" i="29"/>
  <c r="S533" i="29" s="1"/>
  <c r="R532" i="29"/>
  <c r="S532" i="29" s="1"/>
  <c r="R531" i="29"/>
  <c r="S531" i="29" s="1"/>
  <c r="R530" i="29"/>
  <c r="S530" i="29" s="1"/>
  <c r="R529" i="29"/>
  <c r="S529" i="29" s="1"/>
  <c r="R528" i="29"/>
  <c r="S528" i="29" s="1"/>
  <c r="R527" i="29"/>
  <c r="S527" i="29" s="1"/>
  <c r="R526" i="29"/>
  <c r="S526" i="29" s="1"/>
  <c r="R525" i="29"/>
  <c r="S525" i="29" s="1"/>
  <c r="R524" i="29"/>
  <c r="S524" i="29" s="1"/>
  <c r="R523" i="29"/>
  <c r="S523" i="29" s="1"/>
  <c r="R522" i="29"/>
  <c r="S522" i="29" s="1"/>
  <c r="R521" i="29"/>
  <c r="S521" i="29" s="1"/>
  <c r="R520" i="29"/>
  <c r="S520" i="29" s="1"/>
  <c r="R519" i="29"/>
  <c r="S519" i="29" s="1"/>
  <c r="R518" i="29"/>
  <c r="S518" i="29" s="1"/>
  <c r="R517" i="29"/>
  <c r="S517" i="29" s="1"/>
  <c r="R516" i="29"/>
  <c r="S516" i="29" s="1"/>
  <c r="R515" i="29"/>
  <c r="S515" i="29" s="1"/>
  <c r="R514" i="29"/>
  <c r="S514" i="29" s="1"/>
  <c r="R513" i="29"/>
  <c r="S513" i="29" s="1"/>
  <c r="R512" i="29"/>
  <c r="S512" i="29" s="1"/>
  <c r="R511" i="29"/>
  <c r="S511" i="29" s="1"/>
  <c r="R510" i="29"/>
  <c r="S510" i="29" s="1"/>
  <c r="R509" i="29"/>
  <c r="S509" i="29" s="1"/>
  <c r="R508" i="29"/>
  <c r="S508" i="29" s="1"/>
  <c r="R507" i="29"/>
  <c r="S507" i="29" s="1"/>
  <c r="R506" i="29"/>
  <c r="S506" i="29" s="1"/>
  <c r="R505" i="29"/>
  <c r="S505" i="29" s="1"/>
  <c r="R504" i="29"/>
  <c r="S504" i="29" s="1"/>
  <c r="R503" i="29"/>
  <c r="S503" i="29" s="1"/>
  <c r="R502" i="29"/>
  <c r="S502" i="29" s="1"/>
  <c r="R501" i="29"/>
  <c r="S501" i="29" s="1"/>
  <c r="R500" i="29"/>
  <c r="S500" i="29" s="1"/>
  <c r="R499" i="29"/>
  <c r="S499" i="29" s="1"/>
  <c r="R498" i="29"/>
  <c r="S498" i="29" s="1"/>
  <c r="R497" i="29"/>
  <c r="S497" i="29" s="1"/>
  <c r="R496" i="29"/>
  <c r="S496" i="29" s="1"/>
  <c r="R495" i="29"/>
  <c r="S495" i="29" s="1"/>
  <c r="R494" i="29"/>
  <c r="S494" i="29" s="1"/>
  <c r="R493" i="29"/>
  <c r="S493" i="29" s="1"/>
  <c r="R492" i="29"/>
  <c r="S492" i="29" s="1"/>
  <c r="R491" i="29"/>
  <c r="S491" i="29" s="1"/>
  <c r="R490" i="29"/>
  <c r="S490" i="29" s="1"/>
  <c r="R489" i="29"/>
  <c r="S489" i="29" s="1"/>
  <c r="R488" i="29"/>
  <c r="S488" i="29" s="1"/>
  <c r="R487" i="29"/>
  <c r="S487" i="29" s="1"/>
  <c r="R486" i="29"/>
  <c r="S486" i="29" s="1"/>
  <c r="R485" i="29"/>
  <c r="S485" i="29" s="1"/>
  <c r="R484" i="29"/>
  <c r="S484" i="29" s="1"/>
  <c r="R483" i="29"/>
  <c r="S483" i="29" s="1"/>
  <c r="R482" i="29"/>
  <c r="S482" i="29" s="1"/>
  <c r="R481" i="29"/>
  <c r="S481" i="29" s="1"/>
  <c r="R480" i="29"/>
  <c r="S480" i="29" s="1"/>
  <c r="R479" i="29"/>
  <c r="S479" i="29" s="1"/>
  <c r="R478" i="29"/>
  <c r="S478" i="29" s="1"/>
  <c r="R477" i="29"/>
  <c r="S477" i="29" s="1"/>
  <c r="R476" i="29"/>
  <c r="S476" i="29" s="1"/>
  <c r="R475" i="29"/>
  <c r="S475" i="29" s="1"/>
  <c r="R474" i="29"/>
  <c r="S474" i="29" s="1"/>
  <c r="R473" i="29"/>
  <c r="S473" i="29" s="1"/>
  <c r="R472" i="29"/>
  <c r="S472" i="29" s="1"/>
  <c r="R471" i="29"/>
  <c r="S471" i="29" s="1"/>
  <c r="R470" i="29"/>
  <c r="S470" i="29" s="1"/>
  <c r="R469" i="29"/>
  <c r="S469" i="29" s="1"/>
  <c r="R468" i="29"/>
  <c r="S468" i="29" s="1"/>
  <c r="R467" i="29"/>
  <c r="S467" i="29" s="1"/>
  <c r="R466" i="29"/>
  <c r="S466" i="29" s="1"/>
  <c r="R465" i="29"/>
  <c r="S465" i="29" s="1"/>
  <c r="R464" i="29"/>
  <c r="S464" i="29" s="1"/>
  <c r="R463" i="29"/>
  <c r="S463" i="29" s="1"/>
  <c r="R462" i="29"/>
  <c r="S462" i="29" s="1"/>
  <c r="R461" i="29"/>
  <c r="S461" i="29" s="1"/>
  <c r="R460" i="29"/>
  <c r="S460" i="29" s="1"/>
  <c r="R459" i="29"/>
  <c r="S459" i="29" s="1"/>
  <c r="R458" i="29"/>
  <c r="S458" i="29" s="1"/>
  <c r="R457" i="29"/>
  <c r="S457" i="29" s="1"/>
  <c r="R456" i="29"/>
  <c r="S456" i="29" s="1"/>
  <c r="R455" i="29"/>
  <c r="S455" i="29" s="1"/>
  <c r="R454" i="29"/>
  <c r="S454" i="29" s="1"/>
  <c r="R453" i="29"/>
  <c r="S453" i="29" s="1"/>
  <c r="R452" i="29"/>
  <c r="S452" i="29" s="1"/>
  <c r="R451" i="29"/>
  <c r="S451" i="29" s="1"/>
  <c r="R450" i="29"/>
  <c r="S450" i="29" s="1"/>
  <c r="R449" i="29"/>
  <c r="S449" i="29" s="1"/>
  <c r="R448" i="29"/>
  <c r="S448" i="29" s="1"/>
  <c r="R447" i="29"/>
  <c r="S447" i="29" s="1"/>
  <c r="R446" i="29"/>
  <c r="S446" i="29" s="1"/>
  <c r="R445" i="29"/>
  <c r="S445" i="29" s="1"/>
  <c r="R444" i="29"/>
  <c r="S444" i="29" s="1"/>
  <c r="R443" i="29"/>
  <c r="S443" i="29" s="1"/>
  <c r="R442" i="29"/>
  <c r="S442" i="29" s="1"/>
  <c r="R441" i="29"/>
  <c r="S441" i="29" s="1"/>
  <c r="R440" i="29"/>
  <c r="S440" i="29" s="1"/>
  <c r="R439" i="29"/>
  <c r="S439" i="29" s="1"/>
  <c r="R438" i="29"/>
  <c r="S438" i="29" s="1"/>
  <c r="R437" i="29"/>
  <c r="S437" i="29" s="1"/>
  <c r="R436" i="29"/>
  <c r="S436" i="29" s="1"/>
  <c r="R435" i="29"/>
  <c r="S435" i="29" s="1"/>
  <c r="R434" i="29"/>
  <c r="S434" i="29" s="1"/>
  <c r="R433" i="29"/>
  <c r="S433" i="29" s="1"/>
  <c r="R432" i="29"/>
  <c r="S432" i="29" s="1"/>
  <c r="R431" i="29"/>
  <c r="S431" i="29" s="1"/>
  <c r="R430" i="29"/>
  <c r="S430" i="29" s="1"/>
  <c r="R429" i="29"/>
  <c r="S429" i="29" s="1"/>
  <c r="R428" i="29"/>
  <c r="S428" i="29" s="1"/>
  <c r="R427" i="29"/>
  <c r="S427" i="29" s="1"/>
  <c r="R426" i="29"/>
  <c r="S426" i="29" s="1"/>
  <c r="R425" i="29"/>
  <c r="S425" i="29" s="1"/>
  <c r="R424" i="29"/>
  <c r="S424" i="29" s="1"/>
  <c r="R423" i="29"/>
  <c r="S423" i="29" s="1"/>
  <c r="R422" i="29"/>
  <c r="S422" i="29" s="1"/>
  <c r="R421" i="29"/>
  <c r="S421" i="29" s="1"/>
  <c r="R420" i="29"/>
  <c r="S420" i="29" s="1"/>
  <c r="R419" i="29"/>
  <c r="S419" i="29" s="1"/>
  <c r="R418" i="29"/>
  <c r="S418" i="29" s="1"/>
  <c r="R417" i="29"/>
  <c r="S417" i="29" s="1"/>
  <c r="R416" i="29"/>
  <c r="S416" i="29" s="1"/>
  <c r="R415" i="29"/>
  <c r="S415" i="29" s="1"/>
  <c r="R414" i="29"/>
  <c r="S414" i="29" s="1"/>
  <c r="R413" i="29"/>
  <c r="S413" i="29" s="1"/>
  <c r="R412" i="29"/>
  <c r="S412" i="29" s="1"/>
  <c r="R411" i="29"/>
  <c r="S411" i="29" s="1"/>
  <c r="R410" i="29"/>
  <c r="S410" i="29" s="1"/>
  <c r="R409" i="29"/>
  <c r="S409" i="29" s="1"/>
  <c r="R408" i="29"/>
  <c r="S408" i="29" s="1"/>
  <c r="R407" i="29"/>
  <c r="S407" i="29" s="1"/>
  <c r="R406" i="29"/>
  <c r="S406" i="29" s="1"/>
  <c r="R405" i="29"/>
  <c r="S405" i="29" s="1"/>
  <c r="R404" i="29"/>
  <c r="S404" i="29" s="1"/>
  <c r="R403" i="29"/>
  <c r="S403" i="29" s="1"/>
  <c r="R402" i="29"/>
  <c r="S402" i="29" s="1"/>
  <c r="R401" i="29"/>
  <c r="S401" i="29" s="1"/>
  <c r="R400" i="29"/>
  <c r="S400" i="29" s="1"/>
  <c r="R399" i="29"/>
  <c r="S399" i="29" s="1"/>
  <c r="R398" i="29"/>
  <c r="S398" i="29" s="1"/>
  <c r="R397" i="29"/>
  <c r="S397" i="29" s="1"/>
  <c r="R396" i="29"/>
  <c r="S396" i="29" s="1"/>
  <c r="R395" i="29"/>
  <c r="S395" i="29" s="1"/>
  <c r="R394" i="29"/>
  <c r="S394" i="29" s="1"/>
  <c r="R393" i="29"/>
  <c r="S393" i="29" s="1"/>
  <c r="R392" i="29"/>
  <c r="S392" i="29" s="1"/>
  <c r="R391" i="29"/>
  <c r="S391" i="29" s="1"/>
  <c r="R390" i="29"/>
  <c r="S390" i="29" s="1"/>
  <c r="R389" i="29"/>
  <c r="S389" i="29" s="1"/>
  <c r="R388" i="29"/>
  <c r="S388" i="29" s="1"/>
  <c r="R387" i="29"/>
  <c r="S387" i="29" s="1"/>
  <c r="R386" i="29"/>
  <c r="S386" i="29" s="1"/>
  <c r="R385" i="29"/>
  <c r="S385" i="29" s="1"/>
  <c r="R384" i="29"/>
  <c r="S384" i="29" s="1"/>
  <c r="R383" i="29"/>
  <c r="S383" i="29" s="1"/>
  <c r="R382" i="29"/>
  <c r="S382" i="29" s="1"/>
  <c r="R381" i="29"/>
  <c r="S381" i="29" s="1"/>
  <c r="R380" i="29"/>
  <c r="S380" i="29" s="1"/>
  <c r="R379" i="29"/>
  <c r="S379" i="29" s="1"/>
  <c r="R378" i="29"/>
  <c r="S378" i="29" s="1"/>
  <c r="R377" i="29"/>
  <c r="S377" i="29" s="1"/>
  <c r="R376" i="29"/>
  <c r="S376" i="29" s="1"/>
  <c r="R375" i="29"/>
  <c r="S375" i="29" s="1"/>
  <c r="R374" i="29"/>
  <c r="S374" i="29" s="1"/>
  <c r="R373" i="29"/>
  <c r="S373" i="29" s="1"/>
  <c r="R372" i="29"/>
  <c r="S372" i="29" s="1"/>
  <c r="R371" i="29"/>
  <c r="S371" i="29" s="1"/>
  <c r="R370" i="29"/>
  <c r="S370" i="29" s="1"/>
  <c r="R369" i="29"/>
  <c r="S369" i="29" s="1"/>
  <c r="R368" i="29"/>
  <c r="S368" i="29" s="1"/>
  <c r="R367" i="29"/>
  <c r="S367" i="29" s="1"/>
  <c r="R366" i="29"/>
  <c r="S366" i="29" s="1"/>
  <c r="R365" i="29"/>
  <c r="S365" i="29" s="1"/>
  <c r="R364" i="29"/>
  <c r="S364" i="29" s="1"/>
  <c r="R363" i="29"/>
  <c r="S363" i="29" s="1"/>
  <c r="R362" i="29"/>
  <c r="S362" i="29" s="1"/>
  <c r="R361" i="29"/>
  <c r="S361" i="29" s="1"/>
  <c r="R360" i="29"/>
  <c r="S360" i="29" s="1"/>
  <c r="R359" i="29"/>
  <c r="S359" i="29" s="1"/>
  <c r="R358" i="29"/>
  <c r="S358" i="29" s="1"/>
  <c r="R357" i="29"/>
  <c r="S357" i="29" s="1"/>
  <c r="R356" i="29"/>
  <c r="S356" i="29" s="1"/>
  <c r="R355" i="29"/>
  <c r="S355" i="29" s="1"/>
  <c r="R354" i="29"/>
  <c r="S354" i="29" s="1"/>
  <c r="R353" i="29"/>
  <c r="S353" i="29" s="1"/>
  <c r="R352" i="29"/>
  <c r="S352" i="29" s="1"/>
  <c r="R351" i="29"/>
  <c r="S351" i="29" s="1"/>
  <c r="R350" i="29"/>
  <c r="S350" i="29" s="1"/>
  <c r="R349" i="29"/>
  <c r="S349" i="29" s="1"/>
  <c r="R348" i="29"/>
  <c r="S348" i="29" s="1"/>
  <c r="R347" i="29"/>
  <c r="S347" i="29" s="1"/>
  <c r="R346" i="29"/>
  <c r="S346" i="29" s="1"/>
  <c r="R345" i="29"/>
  <c r="S345" i="29" s="1"/>
  <c r="R344" i="29"/>
  <c r="S344" i="29" s="1"/>
  <c r="R343" i="29"/>
  <c r="S343" i="29" s="1"/>
  <c r="R342" i="29"/>
  <c r="S342" i="29" s="1"/>
  <c r="R341" i="29"/>
  <c r="S341" i="29" s="1"/>
  <c r="R340" i="29"/>
  <c r="S340" i="29" s="1"/>
  <c r="R339" i="29"/>
  <c r="S339" i="29" s="1"/>
  <c r="R338" i="29"/>
  <c r="S338" i="29" s="1"/>
  <c r="R337" i="29"/>
  <c r="S337" i="29" s="1"/>
  <c r="R336" i="29"/>
  <c r="S336" i="29" s="1"/>
  <c r="R335" i="29"/>
  <c r="S335" i="29" s="1"/>
  <c r="R334" i="29"/>
  <c r="S334" i="29" s="1"/>
  <c r="R333" i="29"/>
  <c r="S333" i="29" s="1"/>
  <c r="R332" i="29"/>
  <c r="S332" i="29" s="1"/>
  <c r="R331" i="29"/>
  <c r="S331" i="29" s="1"/>
  <c r="R330" i="29"/>
  <c r="S330" i="29" s="1"/>
  <c r="R329" i="29"/>
  <c r="S329" i="29" s="1"/>
  <c r="R328" i="29"/>
  <c r="S328" i="29" s="1"/>
  <c r="R327" i="29"/>
  <c r="S327" i="29" s="1"/>
  <c r="R326" i="29"/>
  <c r="S326" i="29" s="1"/>
  <c r="R325" i="29"/>
  <c r="S325" i="29" s="1"/>
  <c r="R324" i="29"/>
  <c r="S324" i="29" s="1"/>
  <c r="R323" i="29"/>
  <c r="S323" i="29" s="1"/>
  <c r="R322" i="29"/>
  <c r="S322" i="29" s="1"/>
  <c r="R321" i="29"/>
  <c r="S321" i="29" s="1"/>
  <c r="R320" i="29"/>
  <c r="S320" i="29" s="1"/>
  <c r="R319" i="29"/>
  <c r="S319" i="29" s="1"/>
  <c r="R318" i="29"/>
  <c r="S318" i="29" s="1"/>
  <c r="R317" i="29"/>
  <c r="S317" i="29" s="1"/>
  <c r="R316" i="29"/>
  <c r="S316" i="29" s="1"/>
  <c r="R315" i="29"/>
  <c r="S315" i="29" s="1"/>
  <c r="R314" i="29"/>
  <c r="S314" i="29" s="1"/>
  <c r="R313" i="29"/>
  <c r="S313" i="29" s="1"/>
  <c r="R312" i="29"/>
  <c r="S312" i="29" s="1"/>
  <c r="R311" i="29"/>
  <c r="S311" i="29" s="1"/>
  <c r="R310" i="29"/>
  <c r="S310" i="29" s="1"/>
  <c r="R309" i="29"/>
  <c r="S309" i="29" s="1"/>
  <c r="R308" i="29"/>
  <c r="S308" i="29" s="1"/>
  <c r="R307" i="29"/>
  <c r="S307" i="29" s="1"/>
  <c r="R306" i="29"/>
  <c r="S306" i="29" s="1"/>
  <c r="R305" i="29"/>
  <c r="S305" i="29" s="1"/>
  <c r="R304" i="29"/>
  <c r="S304" i="29" s="1"/>
  <c r="R303" i="29"/>
  <c r="S303" i="29" s="1"/>
  <c r="R302" i="29"/>
  <c r="S302" i="29" s="1"/>
  <c r="R301" i="29"/>
  <c r="S301" i="29" s="1"/>
  <c r="R300" i="29"/>
  <c r="S300" i="29" s="1"/>
  <c r="R299" i="29"/>
  <c r="S299" i="29" s="1"/>
  <c r="R298" i="29"/>
  <c r="S298" i="29" s="1"/>
  <c r="R297" i="29"/>
  <c r="S297" i="29" s="1"/>
  <c r="R296" i="29"/>
  <c r="S296" i="29" s="1"/>
  <c r="R295" i="29"/>
  <c r="S295" i="29" s="1"/>
  <c r="R294" i="29"/>
  <c r="S294" i="29" s="1"/>
  <c r="R293" i="29"/>
  <c r="S293" i="29" s="1"/>
  <c r="R292" i="29"/>
  <c r="S292" i="29" s="1"/>
  <c r="R291" i="29"/>
  <c r="S291" i="29" s="1"/>
  <c r="R290" i="29"/>
  <c r="S290" i="29" s="1"/>
  <c r="R289" i="29"/>
  <c r="S289" i="29" s="1"/>
  <c r="R288" i="29"/>
  <c r="S288" i="29" s="1"/>
  <c r="R287" i="29"/>
  <c r="S287" i="29" s="1"/>
  <c r="R286" i="29"/>
  <c r="S286" i="29" s="1"/>
  <c r="R285" i="29"/>
  <c r="S285" i="29" s="1"/>
  <c r="R284" i="29"/>
  <c r="S284" i="29" s="1"/>
  <c r="R283" i="29"/>
  <c r="S283" i="29" s="1"/>
  <c r="R282" i="29"/>
  <c r="S282" i="29" s="1"/>
  <c r="R281" i="29"/>
  <c r="S281" i="29" s="1"/>
  <c r="R280" i="29"/>
  <c r="S280" i="29" s="1"/>
  <c r="R279" i="29"/>
  <c r="S279" i="29" s="1"/>
  <c r="R278" i="29"/>
  <c r="S278" i="29" s="1"/>
  <c r="R277" i="29"/>
  <c r="S277" i="29" s="1"/>
  <c r="R276" i="29"/>
  <c r="S276" i="29" s="1"/>
  <c r="R275" i="29"/>
  <c r="S275" i="29" s="1"/>
  <c r="R274" i="29"/>
  <c r="S274" i="29" s="1"/>
  <c r="R273" i="29"/>
  <c r="S273" i="29" s="1"/>
  <c r="R272" i="29"/>
  <c r="S272" i="29" s="1"/>
  <c r="R271" i="29"/>
  <c r="S271" i="29" s="1"/>
  <c r="R270" i="29"/>
  <c r="S270" i="29" s="1"/>
  <c r="R269" i="29"/>
  <c r="S269" i="29" s="1"/>
  <c r="R268" i="29"/>
  <c r="S268" i="29" s="1"/>
  <c r="R267" i="29"/>
  <c r="S267" i="29" s="1"/>
  <c r="R266" i="29"/>
  <c r="S266" i="29" s="1"/>
  <c r="R265" i="29"/>
  <c r="S265" i="29" s="1"/>
  <c r="R264" i="29"/>
  <c r="S264" i="29" s="1"/>
  <c r="R263" i="29"/>
  <c r="S263" i="29" s="1"/>
  <c r="R262" i="29"/>
  <c r="S262" i="29" s="1"/>
  <c r="R261" i="29"/>
  <c r="S261" i="29" s="1"/>
  <c r="R260" i="29"/>
  <c r="S260" i="29" s="1"/>
  <c r="R259" i="29"/>
  <c r="S259" i="29" s="1"/>
  <c r="R258" i="29"/>
  <c r="S258" i="29" s="1"/>
  <c r="R257" i="29"/>
  <c r="S257" i="29" s="1"/>
  <c r="R256" i="29"/>
  <c r="S256" i="29" s="1"/>
  <c r="R255" i="29"/>
  <c r="S255" i="29" s="1"/>
  <c r="R254" i="29"/>
  <c r="S254" i="29" s="1"/>
  <c r="R253" i="29"/>
  <c r="S253" i="29" s="1"/>
  <c r="R252" i="29"/>
  <c r="S252" i="29" s="1"/>
  <c r="R251" i="29"/>
  <c r="S251" i="29" s="1"/>
  <c r="R250" i="29"/>
  <c r="S250" i="29" s="1"/>
  <c r="R249" i="29"/>
  <c r="S249" i="29" s="1"/>
  <c r="R248" i="29"/>
  <c r="S248" i="29" s="1"/>
  <c r="R247" i="29"/>
  <c r="S247" i="29" s="1"/>
  <c r="R246" i="29"/>
  <c r="S246" i="29" s="1"/>
  <c r="R245" i="29"/>
  <c r="S245" i="29" s="1"/>
  <c r="R244" i="29"/>
  <c r="S244" i="29" s="1"/>
  <c r="R243" i="29"/>
  <c r="S243" i="29" s="1"/>
  <c r="R242" i="29"/>
  <c r="S242" i="29" s="1"/>
  <c r="R241" i="29"/>
  <c r="S241" i="29" s="1"/>
  <c r="R240" i="29"/>
  <c r="S240" i="29" s="1"/>
  <c r="R239" i="29"/>
  <c r="S239" i="29" s="1"/>
  <c r="R238" i="29"/>
  <c r="S238" i="29" s="1"/>
  <c r="R237" i="29"/>
  <c r="S237" i="29" s="1"/>
  <c r="R236" i="29"/>
  <c r="S236" i="29" s="1"/>
  <c r="R235" i="29"/>
  <c r="S235" i="29" s="1"/>
  <c r="R234" i="29"/>
  <c r="S234" i="29" s="1"/>
  <c r="R233" i="29"/>
  <c r="S233" i="29" s="1"/>
  <c r="R232" i="29"/>
  <c r="S232" i="29" s="1"/>
  <c r="R231" i="29"/>
  <c r="S231" i="29" s="1"/>
  <c r="R230" i="29"/>
  <c r="S230" i="29" s="1"/>
  <c r="R229" i="29"/>
  <c r="S229" i="29" s="1"/>
  <c r="R228" i="29"/>
  <c r="S228" i="29" s="1"/>
  <c r="R227" i="29"/>
  <c r="S227" i="29" s="1"/>
  <c r="R226" i="29"/>
  <c r="S226" i="29" s="1"/>
  <c r="R225" i="29"/>
  <c r="S225" i="29" s="1"/>
  <c r="R224" i="29"/>
  <c r="S224" i="29" s="1"/>
  <c r="R223" i="29"/>
  <c r="S223" i="29" s="1"/>
  <c r="R222" i="29"/>
  <c r="S222" i="29" s="1"/>
  <c r="R221" i="29"/>
  <c r="S221" i="29" s="1"/>
  <c r="R220" i="29"/>
  <c r="S220" i="29" s="1"/>
  <c r="R219" i="29"/>
  <c r="S219" i="29" s="1"/>
  <c r="R218" i="29"/>
  <c r="S218" i="29" s="1"/>
  <c r="R217" i="29"/>
  <c r="S217" i="29" s="1"/>
  <c r="R216" i="29"/>
  <c r="S216" i="29" s="1"/>
  <c r="R215" i="29"/>
  <c r="S215" i="29" s="1"/>
  <c r="R214" i="29"/>
  <c r="S214" i="29" s="1"/>
  <c r="R213" i="29"/>
  <c r="S213" i="29" s="1"/>
  <c r="R212" i="29"/>
  <c r="S212" i="29" s="1"/>
  <c r="R211" i="29"/>
  <c r="S211" i="29" s="1"/>
  <c r="R210" i="29"/>
  <c r="S210" i="29" s="1"/>
  <c r="R209" i="29"/>
  <c r="S209" i="29" s="1"/>
  <c r="R208" i="29"/>
  <c r="S208" i="29" s="1"/>
  <c r="R207" i="29"/>
  <c r="S207" i="29" s="1"/>
  <c r="R206" i="29"/>
  <c r="S206" i="29" s="1"/>
  <c r="R205" i="29"/>
  <c r="S205" i="29" s="1"/>
  <c r="R204" i="29"/>
  <c r="S204" i="29" s="1"/>
  <c r="R203" i="29"/>
  <c r="S203" i="29" s="1"/>
  <c r="R202" i="29"/>
  <c r="S202" i="29" s="1"/>
  <c r="R201" i="29"/>
  <c r="S201" i="29" s="1"/>
  <c r="R200" i="29"/>
  <c r="S200" i="29" s="1"/>
  <c r="R199" i="29"/>
  <c r="S199" i="29" s="1"/>
  <c r="R198" i="29"/>
  <c r="S198" i="29" s="1"/>
  <c r="R197" i="29"/>
  <c r="S197" i="29" s="1"/>
  <c r="R196" i="29"/>
  <c r="S196" i="29" s="1"/>
  <c r="R195" i="29"/>
  <c r="S195" i="29" s="1"/>
  <c r="R194" i="29"/>
  <c r="S194" i="29" s="1"/>
  <c r="R193" i="29"/>
  <c r="S193" i="29" s="1"/>
  <c r="R192" i="29"/>
  <c r="S192" i="29" s="1"/>
  <c r="R191" i="29"/>
  <c r="S191" i="29" s="1"/>
  <c r="R190" i="29"/>
  <c r="S190" i="29" s="1"/>
  <c r="R189" i="29"/>
  <c r="S189" i="29" s="1"/>
  <c r="R188" i="29"/>
  <c r="S188" i="29" s="1"/>
  <c r="R187" i="29"/>
  <c r="S187" i="29" s="1"/>
  <c r="R186" i="29"/>
  <c r="S186" i="29" s="1"/>
  <c r="R185" i="29"/>
  <c r="S185" i="29" s="1"/>
  <c r="R184" i="29"/>
  <c r="S184" i="29" s="1"/>
  <c r="R183" i="29"/>
  <c r="S183" i="29" s="1"/>
  <c r="R182" i="29"/>
  <c r="S182" i="29" s="1"/>
  <c r="R181" i="29"/>
  <c r="S181" i="29" s="1"/>
  <c r="R180" i="29"/>
  <c r="S180" i="29" s="1"/>
  <c r="R179" i="29"/>
  <c r="S179" i="29" s="1"/>
  <c r="R178" i="29"/>
  <c r="S178" i="29" s="1"/>
  <c r="R177" i="29"/>
  <c r="S177" i="29" s="1"/>
  <c r="R176" i="29"/>
  <c r="S176" i="29" s="1"/>
  <c r="R175" i="29"/>
  <c r="S175" i="29" s="1"/>
  <c r="R174" i="29"/>
  <c r="S174" i="29" s="1"/>
  <c r="R173" i="29"/>
  <c r="S173" i="29" s="1"/>
  <c r="R172" i="29"/>
  <c r="S172" i="29" s="1"/>
  <c r="R171" i="29"/>
  <c r="S171" i="29" s="1"/>
  <c r="R170" i="29"/>
  <c r="S170" i="29" s="1"/>
  <c r="R169" i="29"/>
  <c r="S169" i="29" s="1"/>
  <c r="R168" i="29"/>
  <c r="S168" i="29" s="1"/>
  <c r="R167" i="29"/>
  <c r="S167" i="29" s="1"/>
  <c r="R166" i="29"/>
  <c r="S166" i="29" s="1"/>
  <c r="R165" i="29"/>
  <c r="S165" i="29" s="1"/>
  <c r="R164" i="29"/>
  <c r="S164" i="29" s="1"/>
  <c r="R163" i="29"/>
  <c r="S163" i="29" s="1"/>
  <c r="R162" i="29"/>
  <c r="S162" i="29" s="1"/>
  <c r="R161" i="29"/>
  <c r="S161" i="29" s="1"/>
  <c r="R160" i="29"/>
  <c r="S160" i="29" s="1"/>
  <c r="R159" i="29"/>
  <c r="S159" i="29" s="1"/>
  <c r="R158" i="29"/>
  <c r="S158" i="29" s="1"/>
  <c r="R157" i="29"/>
  <c r="S157" i="29" s="1"/>
  <c r="R156" i="29"/>
  <c r="S156" i="29" s="1"/>
  <c r="R155" i="29"/>
  <c r="S155" i="29" s="1"/>
  <c r="R154" i="29"/>
  <c r="S154" i="29" s="1"/>
  <c r="R153" i="29"/>
  <c r="S153" i="29" s="1"/>
  <c r="R152" i="29"/>
  <c r="S152" i="29" s="1"/>
  <c r="R151" i="29"/>
  <c r="S151" i="29" s="1"/>
  <c r="R150" i="29"/>
  <c r="S150" i="29" s="1"/>
  <c r="R149" i="29"/>
  <c r="S149" i="29" s="1"/>
  <c r="R148" i="29"/>
  <c r="S148" i="29" s="1"/>
  <c r="R147" i="29"/>
  <c r="S147" i="29" s="1"/>
  <c r="R146" i="29"/>
  <c r="S146" i="29" s="1"/>
  <c r="R145" i="29"/>
  <c r="S145" i="29" s="1"/>
  <c r="R144" i="29"/>
  <c r="S144" i="29" s="1"/>
  <c r="R143" i="29"/>
  <c r="S143" i="29" s="1"/>
  <c r="R142" i="29"/>
  <c r="S142" i="29" s="1"/>
  <c r="R141" i="29"/>
  <c r="S141" i="29" s="1"/>
  <c r="R140" i="29"/>
  <c r="S140" i="29" s="1"/>
  <c r="R139" i="29"/>
  <c r="S139" i="29" s="1"/>
  <c r="R138" i="29"/>
  <c r="S138" i="29" s="1"/>
  <c r="R137" i="29"/>
  <c r="S137" i="29" s="1"/>
  <c r="R136" i="29"/>
  <c r="S136" i="29" s="1"/>
  <c r="R135" i="29"/>
  <c r="S135" i="29" s="1"/>
  <c r="R134" i="29"/>
  <c r="S134" i="29" s="1"/>
  <c r="R133" i="29"/>
  <c r="S133" i="29" s="1"/>
  <c r="R132" i="29"/>
  <c r="S132" i="29" s="1"/>
  <c r="R131" i="29"/>
  <c r="S131" i="29" s="1"/>
  <c r="R130" i="29"/>
  <c r="S130" i="29" s="1"/>
  <c r="R129" i="29"/>
  <c r="S129" i="29" s="1"/>
  <c r="R128" i="29"/>
  <c r="S128" i="29" s="1"/>
  <c r="R127" i="29"/>
  <c r="S127" i="29" s="1"/>
  <c r="R126" i="29"/>
  <c r="S126" i="29" s="1"/>
  <c r="R125" i="29"/>
  <c r="S125" i="29" s="1"/>
  <c r="R124" i="29"/>
  <c r="S124" i="29" s="1"/>
  <c r="R123" i="29"/>
  <c r="S123" i="29" s="1"/>
  <c r="R122" i="29"/>
  <c r="S122" i="29" s="1"/>
  <c r="R121" i="29"/>
  <c r="S121" i="29" s="1"/>
  <c r="R120" i="29"/>
  <c r="S120" i="29" s="1"/>
  <c r="R119" i="29"/>
  <c r="S119" i="29" s="1"/>
  <c r="R118" i="29"/>
  <c r="S118" i="29" s="1"/>
  <c r="R117" i="29"/>
  <c r="S117" i="29" s="1"/>
  <c r="R116" i="29"/>
  <c r="S116" i="29" s="1"/>
  <c r="R115" i="29"/>
  <c r="S115" i="29" s="1"/>
  <c r="R114" i="29"/>
  <c r="S114" i="29" s="1"/>
  <c r="R113" i="29"/>
  <c r="S113" i="29" s="1"/>
  <c r="R112" i="29"/>
  <c r="S112" i="29" s="1"/>
  <c r="R111" i="29"/>
  <c r="S111" i="29" s="1"/>
  <c r="R110" i="29"/>
  <c r="S110" i="29" s="1"/>
  <c r="R109" i="29"/>
  <c r="S109" i="29" s="1"/>
  <c r="R108" i="29"/>
  <c r="S108" i="29" s="1"/>
  <c r="R107" i="29"/>
  <c r="S107" i="29" s="1"/>
  <c r="R106" i="29"/>
  <c r="S106" i="29" s="1"/>
  <c r="R105" i="29"/>
  <c r="S105" i="29" s="1"/>
  <c r="R104" i="29"/>
  <c r="S104" i="29" s="1"/>
  <c r="R103" i="29"/>
  <c r="S103" i="29" s="1"/>
  <c r="R102" i="29"/>
  <c r="S102" i="29" s="1"/>
  <c r="R101" i="29"/>
  <c r="S101" i="29" s="1"/>
  <c r="R100" i="29"/>
  <c r="S100" i="29" s="1"/>
  <c r="R99" i="29"/>
  <c r="S99" i="29" s="1"/>
  <c r="R98" i="29"/>
  <c r="S98" i="29" s="1"/>
  <c r="R97" i="29"/>
  <c r="S97" i="29" s="1"/>
  <c r="R96" i="29"/>
  <c r="S96" i="29" s="1"/>
  <c r="R95" i="29"/>
  <c r="S95" i="29" s="1"/>
  <c r="R94" i="29"/>
  <c r="S94" i="29" s="1"/>
  <c r="R93" i="29"/>
  <c r="S93" i="29" s="1"/>
  <c r="R92" i="29"/>
  <c r="S92" i="29" s="1"/>
  <c r="R91" i="29"/>
  <c r="S91" i="29" s="1"/>
  <c r="R90" i="29"/>
  <c r="S90" i="29" s="1"/>
  <c r="R89" i="29"/>
  <c r="S89" i="29" s="1"/>
  <c r="R88" i="29"/>
  <c r="S88" i="29" s="1"/>
  <c r="R87" i="29"/>
  <c r="S87" i="29" s="1"/>
  <c r="R86" i="29"/>
  <c r="S86" i="29" s="1"/>
  <c r="R85" i="29"/>
  <c r="S85" i="29" s="1"/>
  <c r="R84" i="29"/>
  <c r="S84" i="29" s="1"/>
  <c r="R83" i="29"/>
  <c r="S83" i="29" s="1"/>
  <c r="R82" i="29"/>
  <c r="S82" i="29" s="1"/>
  <c r="R81" i="29"/>
  <c r="S81" i="29" s="1"/>
  <c r="R80" i="29"/>
  <c r="S80" i="29" s="1"/>
  <c r="R79" i="29"/>
  <c r="S79" i="29" s="1"/>
  <c r="R78" i="29"/>
  <c r="S78" i="29" s="1"/>
  <c r="R77" i="29"/>
  <c r="S77" i="29" s="1"/>
  <c r="R76" i="29"/>
  <c r="S76" i="29" s="1"/>
  <c r="R75" i="29"/>
  <c r="S75" i="29" s="1"/>
  <c r="R74" i="29"/>
  <c r="S74" i="29" s="1"/>
  <c r="R73" i="29"/>
  <c r="S73" i="29" s="1"/>
  <c r="AA73" i="29"/>
  <c r="Z73" i="29"/>
  <c r="Y73" i="29"/>
  <c r="X73" i="29"/>
  <c r="W73" i="29"/>
  <c r="R72" i="29"/>
  <c r="S72" i="29" s="1"/>
  <c r="AA72" i="29"/>
  <c r="Z72" i="29"/>
  <c r="Y72" i="29"/>
  <c r="X72" i="29"/>
  <c r="W72" i="29"/>
  <c r="R71" i="29"/>
  <c r="S71" i="29" s="1"/>
  <c r="AA71" i="29"/>
  <c r="Z71" i="29"/>
  <c r="Y71" i="29"/>
  <c r="X71" i="29"/>
  <c r="W71" i="29"/>
  <c r="R70" i="29"/>
  <c r="S70" i="29" s="1"/>
  <c r="AA70" i="29"/>
  <c r="Z70" i="29"/>
  <c r="Y70" i="29"/>
  <c r="X70" i="29"/>
  <c r="W70" i="29"/>
  <c r="R69" i="29"/>
  <c r="S69" i="29" s="1"/>
  <c r="AA69" i="29"/>
  <c r="Z69" i="29"/>
  <c r="Y69" i="29"/>
  <c r="X69" i="29"/>
  <c r="W69" i="29"/>
  <c r="R68" i="29"/>
  <c r="S68" i="29" s="1"/>
  <c r="AA68" i="29"/>
  <c r="Z68" i="29"/>
  <c r="Y68" i="29"/>
  <c r="X68" i="29"/>
  <c r="W68" i="29"/>
  <c r="R67" i="29"/>
  <c r="S67" i="29" s="1"/>
  <c r="AA67" i="29"/>
  <c r="Z67" i="29"/>
  <c r="Y67" i="29"/>
  <c r="X67" i="29"/>
  <c r="W67" i="29"/>
  <c r="R66" i="29"/>
  <c r="S66" i="29" s="1"/>
  <c r="AA66" i="29"/>
  <c r="Z66" i="29"/>
  <c r="Y66" i="29"/>
  <c r="X66" i="29"/>
  <c r="W66" i="29"/>
  <c r="R65" i="29"/>
  <c r="S65" i="29" s="1"/>
  <c r="AA65" i="29"/>
  <c r="Z65" i="29"/>
  <c r="Y65" i="29"/>
  <c r="X65" i="29"/>
  <c r="W65" i="29"/>
  <c r="R64" i="29"/>
  <c r="S64" i="29" s="1"/>
  <c r="AA64" i="29"/>
  <c r="Z64" i="29"/>
  <c r="Y64" i="29"/>
  <c r="X64" i="29"/>
  <c r="W64" i="29"/>
  <c r="R63" i="29"/>
  <c r="S63" i="29" s="1"/>
  <c r="AA63" i="29"/>
  <c r="Z63" i="29"/>
  <c r="Y63" i="29"/>
  <c r="X63" i="29"/>
  <c r="W63" i="29"/>
  <c r="R62" i="29"/>
  <c r="S62" i="29" s="1"/>
  <c r="AA62" i="29"/>
  <c r="Z62" i="29"/>
  <c r="Y62" i="29"/>
  <c r="X62" i="29"/>
  <c r="W62" i="29"/>
  <c r="R61" i="29"/>
  <c r="S61" i="29" s="1"/>
  <c r="AA61" i="29"/>
  <c r="Z61" i="29"/>
  <c r="Y61" i="29"/>
  <c r="X61" i="29"/>
  <c r="W61" i="29"/>
  <c r="R60" i="29"/>
  <c r="S60" i="29" s="1"/>
  <c r="AA60" i="29"/>
  <c r="Z60" i="29"/>
  <c r="Y60" i="29"/>
  <c r="X60" i="29"/>
  <c r="W60" i="29"/>
  <c r="R59" i="29"/>
  <c r="S59" i="29" s="1"/>
  <c r="AA59" i="29"/>
  <c r="Z59" i="29"/>
  <c r="Y59" i="29"/>
  <c r="X59" i="29"/>
  <c r="W59" i="29"/>
  <c r="R58" i="29"/>
  <c r="S58" i="29" s="1"/>
  <c r="AA58" i="29"/>
  <c r="Z58" i="29"/>
  <c r="Y58" i="29"/>
  <c r="X58" i="29"/>
  <c r="W58" i="29"/>
  <c r="R57" i="29"/>
  <c r="S57" i="29" s="1"/>
  <c r="AA57" i="29"/>
  <c r="Z57" i="29"/>
  <c r="Y57" i="29"/>
  <c r="X57" i="29"/>
  <c r="W57" i="29"/>
  <c r="R56" i="29"/>
  <c r="S56" i="29" s="1"/>
  <c r="AA56" i="29"/>
  <c r="Z56" i="29"/>
  <c r="Y56" i="29"/>
  <c r="X56" i="29"/>
  <c r="W56" i="29"/>
  <c r="R55" i="29"/>
  <c r="S55" i="29" s="1"/>
  <c r="AA55" i="29"/>
  <c r="Z55" i="29"/>
  <c r="Y55" i="29"/>
  <c r="X55" i="29"/>
  <c r="W55" i="29"/>
  <c r="R54" i="29"/>
  <c r="S54" i="29" s="1"/>
  <c r="AA54" i="29"/>
  <c r="Z54" i="29"/>
  <c r="Y54" i="29"/>
  <c r="X54" i="29"/>
  <c r="W54" i="29"/>
  <c r="R53" i="29"/>
  <c r="S53" i="29" s="1"/>
  <c r="AA53" i="29"/>
  <c r="Z53" i="29"/>
  <c r="Y53" i="29"/>
  <c r="X53" i="29"/>
  <c r="W53" i="29"/>
  <c r="R52" i="29"/>
  <c r="S52" i="29" s="1"/>
  <c r="AA52" i="29"/>
  <c r="Z52" i="29"/>
  <c r="Y52" i="29"/>
  <c r="X52" i="29"/>
  <c r="W52" i="29"/>
  <c r="R51" i="29"/>
  <c r="S51" i="29" s="1"/>
  <c r="AA51" i="29"/>
  <c r="Z51" i="29"/>
  <c r="Y51" i="29"/>
  <c r="X51" i="29"/>
  <c r="W51" i="29"/>
  <c r="R50" i="29"/>
  <c r="S50" i="29" s="1"/>
  <c r="AA50" i="29"/>
  <c r="Z50" i="29"/>
  <c r="Y50" i="29"/>
  <c r="X50" i="29"/>
  <c r="W50" i="29"/>
  <c r="R49" i="29"/>
  <c r="S49" i="29" s="1"/>
  <c r="AA49" i="29"/>
  <c r="Z49" i="29"/>
  <c r="Y49" i="29"/>
  <c r="X49" i="29"/>
  <c r="W49" i="29"/>
  <c r="R48" i="29"/>
  <c r="S48" i="29" s="1"/>
  <c r="AA48" i="29"/>
  <c r="Z48" i="29"/>
  <c r="Y48" i="29"/>
  <c r="X48" i="29"/>
  <c r="W48" i="29"/>
  <c r="R47" i="29"/>
  <c r="S47" i="29" s="1"/>
  <c r="AA47" i="29"/>
  <c r="Z47" i="29"/>
  <c r="Y47" i="29"/>
  <c r="X47" i="29"/>
  <c r="W47" i="29"/>
  <c r="R46" i="29"/>
  <c r="S46" i="29" s="1"/>
  <c r="AA46" i="29"/>
  <c r="Z46" i="29"/>
  <c r="Y46" i="29"/>
  <c r="X46" i="29"/>
  <c r="W46" i="29"/>
  <c r="R45" i="29"/>
  <c r="S45" i="29" s="1"/>
  <c r="AA45" i="29"/>
  <c r="Z45" i="29"/>
  <c r="Y45" i="29"/>
  <c r="X45" i="29"/>
  <c r="W45" i="29"/>
  <c r="R44" i="29"/>
  <c r="S44" i="29" s="1"/>
  <c r="AA44" i="29"/>
  <c r="Z44" i="29"/>
  <c r="Y44" i="29"/>
  <c r="X44" i="29"/>
  <c r="W44" i="29"/>
  <c r="R43" i="29"/>
  <c r="S43" i="29" s="1"/>
  <c r="AA43" i="29"/>
  <c r="Z43" i="29"/>
  <c r="Y43" i="29"/>
  <c r="X43" i="29"/>
  <c r="W43" i="29"/>
  <c r="R42" i="29"/>
  <c r="S42" i="29" s="1"/>
  <c r="AA42" i="29"/>
  <c r="Z42" i="29"/>
  <c r="Y42" i="29"/>
  <c r="X42" i="29"/>
  <c r="W42" i="29"/>
  <c r="R41" i="29"/>
  <c r="S41" i="29" s="1"/>
  <c r="AA41" i="29"/>
  <c r="Z41" i="29"/>
  <c r="Y41" i="29"/>
  <c r="X41" i="29"/>
  <c r="W41" i="29"/>
  <c r="R40" i="29"/>
  <c r="S40" i="29" s="1"/>
  <c r="AA40" i="29"/>
  <c r="Z40" i="29"/>
  <c r="Y40" i="29"/>
  <c r="X40" i="29"/>
  <c r="W40" i="29"/>
  <c r="R39" i="29"/>
  <c r="S39" i="29" s="1"/>
  <c r="AA39" i="29"/>
  <c r="Z39" i="29"/>
  <c r="Y39" i="29"/>
  <c r="X39" i="29"/>
  <c r="W39" i="29"/>
  <c r="R38" i="29"/>
  <c r="S38" i="29" s="1"/>
  <c r="AA38" i="29"/>
  <c r="Z38" i="29"/>
  <c r="Y38" i="29"/>
  <c r="X38" i="29"/>
  <c r="W38" i="29"/>
  <c r="R37" i="29"/>
  <c r="S37" i="29" s="1"/>
  <c r="AA37" i="29"/>
  <c r="Z37" i="29"/>
  <c r="Y37" i="29"/>
  <c r="X37" i="29"/>
  <c r="W37" i="29"/>
  <c r="R36" i="29"/>
  <c r="S36" i="29" s="1"/>
  <c r="AA36" i="29"/>
  <c r="Z36" i="29"/>
  <c r="Y36" i="29"/>
  <c r="X36" i="29"/>
  <c r="W36" i="29"/>
  <c r="R35" i="29"/>
  <c r="S35" i="29" s="1"/>
  <c r="AA35" i="29"/>
  <c r="Z35" i="29"/>
  <c r="Y35" i="29"/>
  <c r="X35" i="29"/>
  <c r="W35" i="29"/>
  <c r="R34" i="29"/>
  <c r="S34" i="29" s="1"/>
  <c r="AA34" i="29"/>
  <c r="Z34" i="29"/>
  <c r="Y34" i="29"/>
  <c r="X34" i="29"/>
  <c r="W34" i="29"/>
  <c r="R33" i="29"/>
  <c r="S33" i="29" s="1"/>
  <c r="AA33" i="29"/>
  <c r="Z33" i="29"/>
  <c r="Y33" i="29"/>
  <c r="X33" i="29"/>
  <c r="W33" i="29"/>
  <c r="R32" i="29"/>
  <c r="S32" i="29" s="1"/>
  <c r="AA32" i="29"/>
  <c r="Z32" i="29"/>
  <c r="Y32" i="29"/>
  <c r="X32" i="29"/>
  <c r="W32" i="29"/>
  <c r="R31" i="29"/>
  <c r="S31" i="29" s="1"/>
  <c r="AA31" i="29"/>
  <c r="Z31" i="29"/>
  <c r="Y31" i="29"/>
  <c r="X31" i="29"/>
  <c r="W31" i="29"/>
  <c r="R30" i="29"/>
  <c r="S30" i="29" s="1"/>
  <c r="AA30" i="29"/>
  <c r="Z30" i="29"/>
  <c r="Y30" i="29"/>
  <c r="X30" i="29"/>
  <c r="W30" i="29"/>
  <c r="R29" i="29"/>
  <c r="S29" i="29" s="1"/>
  <c r="AA29" i="29"/>
  <c r="Z29" i="29"/>
  <c r="Y29" i="29"/>
  <c r="X29" i="29"/>
  <c r="W29" i="29"/>
  <c r="R28" i="29"/>
  <c r="S28" i="29" s="1"/>
  <c r="AA28" i="29"/>
  <c r="Z28" i="29"/>
  <c r="Y28" i="29"/>
  <c r="X28" i="29"/>
  <c r="W28" i="29"/>
  <c r="R27" i="29"/>
  <c r="S27" i="29" s="1"/>
  <c r="AA27" i="29"/>
  <c r="Z27" i="29"/>
  <c r="Y27" i="29"/>
  <c r="X27" i="29"/>
  <c r="W27" i="29"/>
  <c r="R26" i="29"/>
  <c r="S26" i="29" s="1"/>
  <c r="AA26" i="29"/>
  <c r="Z26" i="29"/>
  <c r="Y26" i="29"/>
  <c r="X26" i="29"/>
  <c r="W26" i="29"/>
  <c r="R25" i="29"/>
  <c r="S25" i="29" s="1"/>
  <c r="AD26" i="29"/>
  <c r="AA25" i="29"/>
  <c r="Z25" i="29"/>
  <c r="Y25" i="29"/>
  <c r="X25" i="29"/>
  <c r="W25" i="29"/>
  <c r="R24" i="29"/>
  <c r="S24" i="29" s="1"/>
  <c r="AD25" i="29"/>
  <c r="AA24" i="29"/>
  <c r="Z24" i="29"/>
  <c r="Y24" i="29"/>
  <c r="X24" i="29"/>
  <c r="W24" i="29"/>
  <c r="R23" i="29"/>
  <c r="S23" i="29" s="1"/>
  <c r="AD24" i="29"/>
  <c r="AA23" i="29"/>
  <c r="Z23" i="29"/>
  <c r="Y23" i="29"/>
  <c r="X23" i="29"/>
  <c r="W23" i="29"/>
  <c r="R22" i="29"/>
  <c r="S22" i="29" s="1"/>
  <c r="AD23" i="29"/>
  <c r="AA22" i="29"/>
  <c r="Z22" i="29"/>
  <c r="Y22" i="29"/>
  <c r="X22" i="29"/>
  <c r="W22" i="29"/>
  <c r="R21" i="29"/>
  <c r="S21" i="29" s="1"/>
  <c r="AD22" i="29"/>
  <c r="AA21" i="29"/>
  <c r="Z21" i="29"/>
  <c r="Y21" i="29"/>
  <c r="X21" i="29"/>
  <c r="W21" i="29"/>
  <c r="R20" i="29"/>
  <c r="S20" i="29" s="1"/>
  <c r="AD21" i="29"/>
  <c r="AA20" i="29"/>
  <c r="Z20" i="29"/>
  <c r="Y20" i="29"/>
  <c r="X20" i="29"/>
  <c r="W20" i="29"/>
  <c r="R19" i="29"/>
  <c r="S19" i="29" s="1"/>
  <c r="AD20" i="29"/>
  <c r="AA19" i="29"/>
  <c r="Z19" i="29"/>
  <c r="Y19" i="29"/>
  <c r="X19" i="29"/>
  <c r="W19" i="29"/>
  <c r="R18" i="29"/>
  <c r="S18" i="29" s="1"/>
  <c r="AD19" i="29"/>
  <c r="AA18" i="29"/>
  <c r="Z18" i="29"/>
  <c r="Y18" i="29"/>
  <c r="X18" i="29"/>
  <c r="W18" i="29"/>
  <c r="R17" i="29"/>
  <c r="S17" i="29" s="1"/>
  <c r="AD18" i="29"/>
  <c r="AA17" i="29"/>
  <c r="Z17" i="29"/>
  <c r="Y17" i="29"/>
  <c r="X17" i="29"/>
  <c r="W17" i="29"/>
  <c r="S16" i="29"/>
  <c r="AD17" i="29"/>
  <c r="AA16" i="29"/>
  <c r="Z16" i="29"/>
  <c r="Y16" i="29"/>
  <c r="X16" i="29"/>
  <c r="W16" i="29"/>
  <c r="S15" i="29"/>
  <c r="AD16" i="29"/>
  <c r="AA15" i="29"/>
  <c r="Z15" i="29"/>
  <c r="Y15" i="29"/>
  <c r="X15" i="29"/>
  <c r="W15" i="29"/>
  <c r="AD15" i="29"/>
  <c r="AA14" i="29"/>
  <c r="Z14" i="29"/>
  <c r="Y14" i="29"/>
  <c r="X14" i="29"/>
  <c r="W14" i="29"/>
  <c r="P12" i="29"/>
  <c r="O12" i="29"/>
  <c r="N12" i="29"/>
  <c r="M12" i="29"/>
  <c r="Q11" i="29"/>
  <c r="P11" i="29"/>
  <c r="O11" i="29"/>
  <c r="N11" i="29"/>
  <c r="M11" i="29"/>
  <c r="R8" i="29"/>
  <c r="AN17" i="29" l="1"/>
  <c r="R11" i="29"/>
  <c r="AN18" i="29"/>
  <c r="AN23" i="29"/>
  <c r="AN20" i="29"/>
  <c r="AN22" i="29"/>
  <c r="AN26" i="29"/>
  <c r="AN19" i="29"/>
  <c r="AN21" i="29"/>
  <c r="AK22" i="29"/>
  <c r="AM15" i="29"/>
  <c r="AR15" i="29" s="1"/>
  <c r="AH16" i="29" s="1"/>
  <c r="AN16" i="29"/>
  <c r="AK18" i="29"/>
  <c r="AN24" i="29"/>
  <c r="AN25" i="29"/>
  <c r="AK26" i="29"/>
  <c r="AM16" i="29"/>
  <c r="AR16" i="29" s="1"/>
  <c r="AH17" i="29" s="1"/>
  <c r="AM20" i="29"/>
  <c r="AM24" i="29"/>
  <c r="AK16" i="29"/>
  <c r="AM18" i="29"/>
  <c r="AK20" i="29"/>
  <c r="AM22" i="29"/>
  <c r="AK24" i="29"/>
  <c r="AM26" i="29"/>
  <c r="S12" i="29"/>
  <c r="S11" i="29"/>
  <c r="R12" i="29"/>
  <c r="AJ15" i="29"/>
  <c r="AO15" i="29" s="1"/>
  <c r="AE16" i="29" s="1"/>
  <c r="AL15" i="29"/>
  <c r="AQ15" i="29" s="1"/>
  <c r="AG16" i="29" s="1"/>
  <c r="AN15" i="29"/>
  <c r="AS15" i="29" s="1"/>
  <c r="AI16" i="29" s="1"/>
  <c r="AJ16" i="29"/>
  <c r="AL16" i="29"/>
  <c r="AK17" i="29"/>
  <c r="AM17" i="29"/>
  <c r="AJ18" i="29"/>
  <c r="AL18" i="29"/>
  <c r="AK19" i="29"/>
  <c r="AM19" i="29"/>
  <c r="AJ20" i="29"/>
  <c r="AL20" i="29"/>
  <c r="AK21" i="29"/>
  <c r="AM21" i="29"/>
  <c r="AJ22" i="29"/>
  <c r="AL22" i="29"/>
  <c r="AK23" i="29"/>
  <c r="AM23" i="29"/>
  <c r="AJ24" i="29"/>
  <c r="AL24" i="29"/>
  <c r="AK25" i="29"/>
  <c r="AM25" i="29"/>
  <c r="AJ26" i="29"/>
  <c r="AL26" i="29"/>
  <c r="AK15" i="29"/>
  <c r="AP15" i="29" s="1"/>
  <c r="AF16" i="29" s="1"/>
  <c r="AJ17" i="29"/>
  <c r="AL17" i="29"/>
  <c r="AJ19" i="29"/>
  <c r="AL19" i="29"/>
  <c r="AJ21" i="29"/>
  <c r="AL21" i="29"/>
  <c r="AJ23" i="29"/>
  <c r="AL23" i="29"/>
  <c r="AJ25" i="29"/>
  <c r="AL25" i="29"/>
  <c r="AS16" i="29" l="1"/>
  <c r="AI17" i="29" s="1"/>
  <c r="AS17" i="29" s="1"/>
  <c r="AI18" i="29" s="1"/>
  <c r="AS18" i="29" s="1"/>
  <c r="AI19" i="29" s="1"/>
  <c r="AS19" i="29" s="1"/>
  <c r="AI20" i="29" s="1"/>
  <c r="AS20" i="29" s="1"/>
  <c r="AI21" i="29" s="1"/>
  <c r="AS21" i="29" s="1"/>
  <c r="AI22" i="29" s="1"/>
  <c r="AS22" i="29" s="1"/>
  <c r="AI23" i="29" s="1"/>
  <c r="AS23" i="29" s="1"/>
  <c r="AI24" i="29" s="1"/>
  <c r="AS24" i="29" s="1"/>
  <c r="AI25" i="29" s="1"/>
  <c r="AS25" i="29" s="1"/>
  <c r="AI26" i="29" s="1"/>
  <c r="AS26" i="29" s="1"/>
  <c r="Q14" i="29" s="1"/>
  <c r="AP16" i="29"/>
  <c r="AF17" i="29" s="1"/>
  <c r="AP17" i="29" s="1"/>
  <c r="AF18" i="29" s="1"/>
  <c r="AP18" i="29" s="1"/>
  <c r="AF19" i="29" s="1"/>
  <c r="AP19" i="29" s="1"/>
  <c r="AF20" i="29" s="1"/>
  <c r="AP20" i="29" s="1"/>
  <c r="AF21" i="29" s="1"/>
  <c r="AP21" i="29" s="1"/>
  <c r="AF22" i="29" s="1"/>
  <c r="AP22" i="29" s="1"/>
  <c r="AF23" i="29" s="1"/>
  <c r="AP23" i="29" s="1"/>
  <c r="AF24" i="29" s="1"/>
  <c r="AP24" i="29" s="1"/>
  <c r="AF25" i="29" s="1"/>
  <c r="AP25" i="29" s="1"/>
  <c r="AF26" i="29" s="1"/>
  <c r="AP26" i="29" s="1"/>
  <c r="N14" i="29" s="1"/>
  <c r="AO16" i="29"/>
  <c r="AE17" i="29" s="1"/>
  <c r="AO17" i="29" s="1"/>
  <c r="AE18" i="29" s="1"/>
  <c r="AO18" i="29" s="1"/>
  <c r="AE19" i="29" s="1"/>
  <c r="AO19" i="29" s="1"/>
  <c r="AE20" i="29" s="1"/>
  <c r="AO20" i="29" s="1"/>
  <c r="AE21" i="29" s="1"/>
  <c r="AO21" i="29" s="1"/>
  <c r="AE22" i="29" s="1"/>
  <c r="AO22" i="29" s="1"/>
  <c r="AE23" i="29" s="1"/>
  <c r="AO23" i="29" s="1"/>
  <c r="AE24" i="29" s="1"/>
  <c r="AO24" i="29" s="1"/>
  <c r="AE25" i="29" s="1"/>
  <c r="AO25" i="29" s="1"/>
  <c r="AE26" i="29" s="1"/>
  <c r="AO26" i="29" s="1"/>
  <c r="M14" i="29" s="1"/>
  <c r="AR17" i="29"/>
  <c r="AH18" i="29" s="1"/>
  <c r="AR18" i="29" s="1"/>
  <c r="AH19" i="29" s="1"/>
  <c r="AR19" i="29" s="1"/>
  <c r="AH20" i="29" s="1"/>
  <c r="AR20" i="29" s="1"/>
  <c r="AH21" i="29" s="1"/>
  <c r="AR21" i="29" s="1"/>
  <c r="AH22" i="29" s="1"/>
  <c r="AR22" i="29" s="1"/>
  <c r="AH23" i="29" s="1"/>
  <c r="AR23" i="29" s="1"/>
  <c r="AH24" i="29" s="1"/>
  <c r="AR24" i="29" s="1"/>
  <c r="AH25" i="29" s="1"/>
  <c r="AR25" i="29" s="1"/>
  <c r="AH26" i="29" s="1"/>
  <c r="AR26" i="29" s="1"/>
  <c r="P14" i="29" s="1"/>
  <c r="AQ16" i="29"/>
  <c r="AG17" i="29" s="1"/>
  <c r="AQ17" i="29" s="1"/>
  <c r="AG18" i="29" s="1"/>
  <c r="AQ18" i="29" s="1"/>
  <c r="AG19" i="29" s="1"/>
  <c r="AQ19" i="29" s="1"/>
  <c r="AG20" i="29" s="1"/>
  <c r="AQ20" i="29" s="1"/>
  <c r="AG21" i="29" s="1"/>
  <c r="AQ21" i="29" s="1"/>
  <c r="AG22" i="29" s="1"/>
  <c r="AQ22" i="29" s="1"/>
  <c r="AG23" i="29" s="1"/>
  <c r="AQ23" i="29" s="1"/>
  <c r="AG24" i="29" s="1"/>
  <c r="AQ24" i="29" s="1"/>
  <c r="AG25" i="29" s="1"/>
  <c r="AQ25" i="29" s="1"/>
  <c r="AG26" i="29" s="1"/>
  <c r="AQ26" i="29" s="1"/>
  <c r="O14" i="29" s="1"/>
  <c r="N20" i="13" l="1"/>
  <c r="O20" i="13" s="1"/>
  <c r="N21" i="13"/>
  <c r="O21" i="13" s="1"/>
  <c r="N22" i="13"/>
  <c r="O22" i="13" s="1"/>
  <c r="N23" i="13"/>
  <c r="O23" i="13" s="1"/>
  <c r="N24" i="13"/>
  <c r="O24" i="13" s="1"/>
  <c r="N25" i="13"/>
  <c r="O25" i="13" s="1"/>
  <c r="N26" i="13"/>
  <c r="O26" i="13" s="1"/>
  <c r="N27" i="13"/>
  <c r="O27" i="13" s="1"/>
  <c r="N28" i="13"/>
  <c r="O28" i="13" s="1"/>
  <c r="N29" i="13"/>
  <c r="O29" i="13" s="1"/>
  <c r="N19" i="13"/>
  <c r="O19" i="13" s="1"/>
  <c r="N18" i="13"/>
  <c r="O18" i="13" s="1"/>
  <c r="N20" i="12"/>
  <c r="O20" i="12" s="1"/>
  <c r="N21" i="12"/>
  <c r="O21" i="12" s="1"/>
  <c r="N22" i="12"/>
  <c r="O22" i="12" s="1"/>
  <c r="N23" i="12"/>
  <c r="O23" i="12" s="1"/>
  <c r="N24" i="12"/>
  <c r="O24" i="12" s="1"/>
  <c r="N25" i="12"/>
  <c r="O25" i="12" s="1"/>
  <c r="N26" i="12"/>
  <c r="O26" i="12" s="1"/>
  <c r="N27" i="12"/>
  <c r="O27" i="12" s="1"/>
  <c r="N28" i="12"/>
  <c r="O28" i="12" s="1"/>
  <c r="N29" i="12"/>
  <c r="O29" i="12" s="1"/>
  <c r="N19" i="12"/>
  <c r="O19" i="12" s="1"/>
  <c r="N18" i="12"/>
  <c r="O18" i="12" s="1"/>
  <c r="N20" i="11"/>
  <c r="O20" i="11" s="1"/>
  <c r="N21" i="11"/>
  <c r="O21" i="11" s="1"/>
  <c r="N22" i="11"/>
  <c r="O22" i="11" s="1"/>
  <c r="N23" i="11"/>
  <c r="O23" i="11" s="1"/>
  <c r="N24" i="11"/>
  <c r="O24" i="11" s="1"/>
  <c r="N25" i="11"/>
  <c r="O25" i="11" s="1"/>
  <c r="N26" i="11"/>
  <c r="O26" i="11" s="1"/>
  <c r="N27" i="11"/>
  <c r="O27" i="11" s="1"/>
  <c r="N28" i="11"/>
  <c r="O28" i="11" s="1"/>
  <c r="N29" i="11"/>
  <c r="O29" i="11" s="1"/>
  <c r="N19" i="11"/>
  <c r="O19" i="11" s="1"/>
  <c r="N18" i="11"/>
  <c r="O18" i="11" l="1"/>
  <c r="N20" i="10"/>
  <c r="O20" i="10" s="1"/>
  <c r="N21" i="10"/>
  <c r="O21" i="10" s="1"/>
  <c r="N22" i="10"/>
  <c r="O22" i="10" s="1"/>
  <c r="N23" i="10"/>
  <c r="O23" i="10" s="1"/>
  <c r="N24" i="10"/>
  <c r="O24" i="10" s="1"/>
  <c r="N25" i="10"/>
  <c r="O25" i="10" s="1"/>
  <c r="N26" i="10"/>
  <c r="O26" i="10" s="1"/>
  <c r="N27" i="10"/>
  <c r="O27" i="10" s="1"/>
  <c r="N28" i="10"/>
  <c r="O28" i="10" s="1"/>
  <c r="N29" i="10"/>
  <c r="O29" i="10" s="1"/>
  <c r="N19" i="10"/>
  <c r="O19" i="10" s="1"/>
  <c r="N18" i="10"/>
  <c r="O18" i="10" s="1"/>
  <c r="H12" i="13"/>
  <c r="M18" i="13" s="1"/>
  <c r="P18" i="13" s="1"/>
  <c r="M19" i="13" s="1"/>
  <c r="P19" i="13" s="1"/>
  <c r="M20" i="13" s="1"/>
  <c r="P20" i="13" s="1"/>
  <c r="M21" i="13" s="1"/>
  <c r="P21" i="13" s="1"/>
  <c r="M22" i="13" s="1"/>
  <c r="P22" i="13" s="1"/>
  <c r="M23" i="13" s="1"/>
  <c r="P23" i="13" s="1"/>
  <c r="M24" i="13" s="1"/>
  <c r="P24" i="13" s="1"/>
  <c r="M25" i="13" s="1"/>
  <c r="P25" i="13" s="1"/>
  <c r="M26" i="13" s="1"/>
  <c r="P26" i="13" s="1"/>
  <c r="M27" i="13" s="1"/>
  <c r="P27" i="13" s="1"/>
  <c r="M28" i="13" s="1"/>
  <c r="P28" i="13" s="1"/>
  <c r="M29" i="13" s="1"/>
  <c r="P29" i="13" s="1"/>
  <c r="H13" i="13" s="1"/>
  <c r="H14" i="13" s="1"/>
  <c r="O10" i="13"/>
  <c r="G12" i="29" s="1"/>
  <c r="N10" i="13"/>
  <c r="O9" i="13"/>
  <c r="N9" i="13"/>
  <c r="O8" i="13"/>
  <c r="N8" i="13"/>
  <c r="H8" i="13"/>
  <c r="O7" i="13"/>
  <c r="F12" i="29" s="1"/>
  <c r="N7" i="13"/>
  <c r="H12" i="12"/>
  <c r="M18" i="12" s="1"/>
  <c r="P18" i="12" s="1"/>
  <c r="M19" i="12" s="1"/>
  <c r="P19" i="12" s="1"/>
  <c r="M20" i="12" s="1"/>
  <c r="P20" i="12" s="1"/>
  <c r="M21" i="12" s="1"/>
  <c r="P21" i="12" s="1"/>
  <c r="M22" i="12" s="1"/>
  <c r="P22" i="12" s="1"/>
  <c r="M23" i="12" s="1"/>
  <c r="P23" i="12" s="1"/>
  <c r="M24" i="12" s="1"/>
  <c r="P24" i="12" s="1"/>
  <c r="M25" i="12" s="1"/>
  <c r="P25" i="12" s="1"/>
  <c r="M26" i="12" s="1"/>
  <c r="P26" i="12" s="1"/>
  <c r="M27" i="12" s="1"/>
  <c r="P27" i="12" s="1"/>
  <c r="M28" i="12" s="1"/>
  <c r="P28" i="12" s="1"/>
  <c r="M29" i="12" s="1"/>
  <c r="P29" i="12" s="1"/>
  <c r="H13" i="12" s="1"/>
  <c r="H14" i="12" s="1"/>
  <c r="O10" i="12"/>
  <c r="G10" i="29" s="1"/>
  <c r="N10" i="12"/>
  <c r="O9" i="12"/>
  <c r="N9" i="12"/>
  <c r="O8" i="12"/>
  <c r="N8" i="12"/>
  <c r="H8" i="12"/>
  <c r="O13" i="12" s="1"/>
  <c r="I10" i="29" s="1"/>
  <c r="O7" i="12"/>
  <c r="F10" i="29" s="1"/>
  <c r="N7" i="12"/>
  <c r="H12" i="11"/>
  <c r="O10" i="11"/>
  <c r="G9" i="29" s="1"/>
  <c r="N10" i="11"/>
  <c r="O9" i="11"/>
  <c r="N9" i="11"/>
  <c r="O8" i="11"/>
  <c r="N8" i="11"/>
  <c r="H8" i="11"/>
  <c r="O13" i="11" s="1"/>
  <c r="I9" i="29" s="1"/>
  <c r="O7" i="11"/>
  <c r="F9" i="29" s="1"/>
  <c r="N7" i="11"/>
  <c r="M18" i="11"/>
  <c r="H12" i="10"/>
  <c r="M18" i="10" s="1"/>
  <c r="O10" i="10"/>
  <c r="G13" i="29" s="1"/>
  <c r="N10" i="10"/>
  <c r="O9" i="10"/>
  <c r="N9" i="10"/>
  <c r="O8" i="10"/>
  <c r="N8" i="10"/>
  <c r="O13" i="10"/>
  <c r="I13" i="29" s="1"/>
  <c r="O7" i="10"/>
  <c r="F13" i="29" s="1"/>
  <c r="N7" i="10"/>
  <c r="O13" i="13" l="1"/>
  <c r="I12" i="29" s="1"/>
  <c r="O12" i="13"/>
  <c r="H12" i="29" s="1"/>
  <c r="P18" i="11"/>
  <c r="M19" i="11" s="1"/>
  <c r="P19" i="11" s="1"/>
  <c r="M20" i="11" s="1"/>
  <c r="P20" i="11" s="1"/>
  <c r="M21" i="11" s="1"/>
  <c r="P21" i="11" s="1"/>
  <c r="M22" i="11" s="1"/>
  <c r="P22" i="11" s="1"/>
  <c r="M23" i="11" s="1"/>
  <c r="P23" i="11" s="1"/>
  <c r="M24" i="11" s="1"/>
  <c r="P24" i="11" s="1"/>
  <c r="M25" i="11" s="1"/>
  <c r="P25" i="11" s="1"/>
  <c r="M26" i="11" s="1"/>
  <c r="P26" i="11" s="1"/>
  <c r="M27" i="11" s="1"/>
  <c r="P27" i="11" s="1"/>
  <c r="M28" i="11" s="1"/>
  <c r="P28" i="11" s="1"/>
  <c r="M29" i="11" s="1"/>
  <c r="P29" i="11" s="1"/>
  <c r="H13" i="11" s="1"/>
  <c r="H14" i="11" s="1"/>
  <c r="T18" i="11" s="1"/>
  <c r="U18" i="13"/>
  <c r="T18" i="13"/>
  <c r="T18" i="12"/>
  <c r="U18" i="12"/>
  <c r="P18" i="10"/>
  <c r="M19" i="10" s="1"/>
  <c r="P19" i="10" s="1"/>
  <c r="M20" i="10" s="1"/>
  <c r="P20" i="10" s="1"/>
  <c r="M21" i="10" s="1"/>
  <c r="P21" i="10" s="1"/>
  <c r="M22" i="10" s="1"/>
  <c r="P22" i="10" s="1"/>
  <c r="M23" i="10" s="1"/>
  <c r="P23" i="10" s="1"/>
  <c r="M24" i="10" s="1"/>
  <c r="P24" i="10" s="1"/>
  <c r="M25" i="10" s="1"/>
  <c r="P25" i="10" s="1"/>
  <c r="M26" i="10" s="1"/>
  <c r="P26" i="10" s="1"/>
  <c r="M27" i="10" s="1"/>
  <c r="P27" i="10" s="1"/>
  <c r="M28" i="10" s="1"/>
  <c r="P28" i="10" s="1"/>
  <c r="M29" i="10" s="1"/>
  <c r="P29" i="10" s="1"/>
  <c r="H13" i="10" s="1"/>
  <c r="H14" i="10" s="1"/>
  <c r="O12" i="12"/>
  <c r="H10" i="29" s="1"/>
  <c r="O12" i="11"/>
  <c r="H9" i="29" s="1"/>
  <c r="O12" i="10"/>
  <c r="H13" i="29" s="1"/>
  <c r="U18" i="11" l="1"/>
  <c r="T18" i="10"/>
  <c r="U18" i="10"/>
  <c r="O9" i="9" l="1"/>
  <c r="O8" i="9"/>
  <c r="N9" i="9"/>
  <c r="N8" i="9"/>
  <c r="O10" i="9"/>
  <c r="G11" i="29" s="1"/>
  <c r="N10" i="9"/>
  <c r="H8" i="9"/>
  <c r="O13" i="9" s="1"/>
  <c r="I11" i="29" s="1"/>
  <c r="H12" i="9"/>
  <c r="M18" i="9" s="1"/>
  <c r="O7" i="9"/>
  <c r="F11" i="29" s="1"/>
  <c r="N7" i="9"/>
  <c r="N19" i="9"/>
  <c r="O19" i="9" s="1"/>
  <c r="N20" i="9"/>
  <c r="O20" i="9" s="1"/>
  <c r="N21" i="9"/>
  <c r="N22" i="9"/>
  <c r="O22" i="9" s="1"/>
  <c r="N23" i="9"/>
  <c r="O23" i="9" s="1"/>
  <c r="N24" i="9"/>
  <c r="O24" i="9" s="1"/>
  <c r="N25" i="9"/>
  <c r="O25" i="9" s="1"/>
  <c r="N26" i="9"/>
  <c r="O26" i="9" s="1"/>
  <c r="N27" i="9"/>
  <c r="O27" i="9" s="1"/>
  <c r="N28" i="9"/>
  <c r="O28" i="9" s="1"/>
  <c r="N29" i="9"/>
  <c r="O29" i="9" s="1"/>
  <c r="N18" i="9"/>
  <c r="O18" i="9" s="1"/>
  <c r="O21" i="9"/>
  <c r="O12" i="9" l="1"/>
  <c r="H11" i="29" s="1"/>
  <c r="P18" i="9"/>
  <c r="M19" i="9" s="1"/>
  <c r="P19" i="9" s="1"/>
  <c r="M20" i="9" s="1"/>
  <c r="P20" i="9" s="1"/>
  <c r="M21" i="9" s="1"/>
  <c r="P21" i="9" s="1"/>
  <c r="M22" i="9" s="1"/>
  <c r="P22" i="9" s="1"/>
  <c r="M23" i="9" s="1"/>
  <c r="P23" i="9" s="1"/>
  <c r="M24" i="9" s="1"/>
  <c r="P24" i="9" s="1"/>
  <c r="M25" i="9" s="1"/>
  <c r="P25" i="9" s="1"/>
  <c r="M26" i="9" s="1"/>
  <c r="P26" i="9" s="1"/>
  <c r="M27" i="9" s="1"/>
  <c r="P27" i="9" s="1"/>
  <c r="M28" i="9" s="1"/>
  <c r="P28" i="9" s="1"/>
  <c r="M29" i="9" s="1"/>
  <c r="P29" i="9" s="1"/>
  <c r="H13" i="9" l="1"/>
  <c r="H14" i="9" s="1"/>
  <c r="T18" i="9" l="1"/>
  <c r="U1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CS</author>
  </authors>
  <commentList>
    <comment ref="S11" authorId="0" shapeId="0" xr:uid="{489A14B0-5FC4-45B8-BA13-8CDA40F8D4C1}">
      <text>
        <r>
          <rPr>
            <b/>
            <sz val="9"/>
            <color indexed="81"/>
            <rFont val="Tahoma"/>
            <family val="2"/>
          </rPr>
          <t>CS:</t>
        </r>
        <r>
          <rPr>
            <sz val="9"/>
            <color indexed="81"/>
            <rFont val="Tahoma"/>
            <family val="2"/>
          </rPr>
          <t xml:space="preserve">
Use in Solver for restraint on return. Minimum return for 2022 is 10%, approximate projected S&amp;P 500 return. See Market Return tab.
</t>
        </r>
      </text>
    </comment>
    <comment ref="S12" authorId="0" shapeId="0" xr:uid="{46135F60-D004-4D93-B304-226851D37C5B}">
      <text>
        <r>
          <rPr>
            <b/>
            <sz val="9"/>
            <color indexed="81"/>
            <rFont val="Tahoma"/>
            <family val="2"/>
          </rPr>
          <t>CS:</t>
        </r>
        <r>
          <rPr>
            <sz val="9"/>
            <color indexed="81"/>
            <rFont val="Tahoma"/>
            <family val="2"/>
          </rPr>
          <t xml:space="preserve">
Portfolio risk parameter. Set as Solver objective with minimize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CS</author>
  </authors>
  <commentList>
    <comment ref="R17" authorId="0" shapeId="0" xr:uid="{826E2ACF-E3BB-4FE6-8600-C40F09A5437C}">
      <text>
        <r>
          <rPr>
            <b/>
            <sz val="9"/>
            <color indexed="81"/>
            <rFont val="Tahoma"/>
            <family val="2"/>
          </rPr>
          <t>CS:</t>
        </r>
        <r>
          <rPr>
            <sz val="9"/>
            <color indexed="81"/>
            <rFont val="Tahoma"/>
            <family val="2"/>
          </rPr>
          <t xml:space="preserve">
Empty cell used in data table. Leave blank.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CS</author>
  </authors>
  <commentList>
    <comment ref="R17" authorId="0" shapeId="0" xr:uid="{3554ED0F-6D2C-4BE1-9A73-50792BC3FE04}">
      <text>
        <r>
          <rPr>
            <b/>
            <sz val="9"/>
            <color indexed="81"/>
            <rFont val="Tahoma"/>
            <family val="2"/>
          </rPr>
          <t>CS:</t>
        </r>
        <r>
          <rPr>
            <sz val="9"/>
            <color indexed="81"/>
            <rFont val="Tahoma"/>
            <family val="2"/>
          </rPr>
          <t xml:space="preserve">
Empty cell used in data table. Leave blank.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CS</author>
  </authors>
  <commentList>
    <comment ref="R17" authorId="0" shapeId="0" xr:uid="{5AAFC984-0215-4377-B932-4D913B99ADF9}">
      <text>
        <r>
          <rPr>
            <b/>
            <sz val="9"/>
            <color indexed="81"/>
            <rFont val="Tahoma"/>
            <family val="2"/>
          </rPr>
          <t>CS:</t>
        </r>
        <r>
          <rPr>
            <sz val="9"/>
            <color indexed="81"/>
            <rFont val="Tahoma"/>
            <family val="2"/>
          </rPr>
          <t xml:space="preserve">
Empty cell used in data table. Leave blank.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CS</author>
  </authors>
  <commentList>
    <comment ref="R17" authorId="0" shapeId="0" xr:uid="{ADF15B07-EACA-42F7-9F17-0F0A7E0E965D}">
      <text>
        <r>
          <rPr>
            <b/>
            <sz val="9"/>
            <color indexed="81"/>
            <rFont val="Tahoma"/>
            <family val="2"/>
          </rPr>
          <t>CS:</t>
        </r>
        <r>
          <rPr>
            <sz val="9"/>
            <color indexed="81"/>
            <rFont val="Tahoma"/>
            <family val="2"/>
          </rPr>
          <t xml:space="preserve">
Empty cell used in data table. Leave blank.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CS</author>
  </authors>
  <commentList>
    <comment ref="R17" authorId="0" shapeId="0" xr:uid="{AA78ACFA-119F-4008-9AB5-34AAE9E3A65C}">
      <text>
        <r>
          <rPr>
            <b/>
            <sz val="9"/>
            <color indexed="81"/>
            <rFont val="Tahoma"/>
            <family val="2"/>
          </rPr>
          <t>CS:</t>
        </r>
        <r>
          <rPr>
            <sz val="9"/>
            <color indexed="81"/>
            <rFont val="Tahoma"/>
            <family val="2"/>
          </rPr>
          <t xml:space="preserve">
Empty cell used in data table. Leave blank.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48E1E8-E6D6-4916-B691-72195661BD4E}" keepAlive="1" name="Query - CURE" description="Connection to the 'CURE' query in the workbook." type="5" refreshedVersion="7" background="1" saveData="1">
    <dbPr connection="Provider=Microsoft.Mashup.OleDb.1;Data Source=$Workbook$;Location=CURE;Extended Properties=&quot;&quot;" command="SELECT * FROM [CURE]"/>
  </connection>
  <connection id="2" xr16:uid="{C7920AD6-86BC-4D4A-90E6-C19224B36455}" keepAlive="1" name="Query - IHF" description="Connection to the 'IHF' query in the workbook." type="5" refreshedVersion="0" background="1">
    <dbPr connection="Provider=Microsoft.Mashup.OleDb.1;Data Source=$Workbook$;Location=IHF;Extended Properties=&quot;&quot;" command="SELECT * FROM [IHF]"/>
  </connection>
  <connection id="3" xr16:uid="{42775586-045A-4212-88E5-AF4E75C58746}" keepAlive="1" name="Query - IHI" description="Connection to the 'IHI' query in the workbook." type="5" refreshedVersion="0" background="1">
    <dbPr connection="Provider=Microsoft.Mashup.OleDb.1;Data Source=$Workbook$;Location=IHI;Extended Properties=&quot;&quot;" command="SELECT * FROM [IHI]"/>
  </connection>
  <connection id="4" xr16:uid="{5FAB2C19-4D39-45BA-96F9-E32E462E1ABA}" keepAlive="1" name="Query - Monthly Data" description="Connection to the 'Monthly Data' query in the workbook." type="5" refreshedVersion="0" background="1">
    <dbPr connection="Provider=Microsoft.Mashup.OleDb.1;Data Source=$Workbook$;Location=&quot;Monthly Data&quot;;Extended Properties=&quot;&quot;" command="SELECT * FROM [Monthly Data]"/>
  </connection>
  <connection id="5" xr16:uid="{5B78FED6-F725-40CA-8878-2E6DD240FC01}" keepAlive="1" name="Query - Monthly Return Tbl xfile" description="Connection to the 'Monthly Return Tbl xfile' query in the workbook." type="5" refreshedVersion="7" background="1" saveData="1">
    <dbPr connection="Provider=Microsoft.Mashup.OleDb.1;Data Source=$Workbook$;Location=&quot;Monthly Return Tbl xfile&quot;;Extended Properties=&quot;&quot;" command="SELECT * FROM [Monthly Return Tbl xfile]"/>
  </connection>
  <connection id="6" xr16:uid="{CC499A14-5F40-479F-BE8B-D8FE056DA757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7" xr16:uid="{414048AB-E09D-4D5D-B758-ABEA8B28593B}" keepAlive="1" name="Query - RXL" description="Connection to the 'RXL' query in the workbook." type="5" refreshedVersion="0" background="1">
    <dbPr connection="Provider=Microsoft.Mashup.OleDb.1;Data Source=$Workbook$;Location=RXL;Extended Properties=&quot;&quot;" command="SELECT * FROM [RXL]"/>
  </connection>
  <connection id="8" xr16:uid="{B2BB0DF9-BA1D-4AB5-A9D3-FA976B3F0B6D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9" xr16:uid="{B6AA436A-0FDA-4C84-B050-15A8166407CC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0" xr16:uid="{7B3D5CAF-5514-41FC-B648-DDE75BC24FC0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11" xr16:uid="{CF1EF8CF-6994-4400-AF7A-9F73AEE118BF}" keepAlive="1" name="Query - XLV" description="Connection to the 'XLV' query in the workbook." type="5" refreshedVersion="0" background="1">
    <dbPr connection="Provider=Microsoft.Mashup.OleDb.1;Data Source=$Workbook$;Location=XLV;Extended Properties=&quot;&quot;" command="SELECT * FROM [XLV]"/>
  </connection>
</connections>
</file>

<file path=xl/sharedStrings.xml><?xml version="1.0" encoding="utf-8"?>
<sst xmlns="http://schemas.openxmlformats.org/spreadsheetml/2006/main" count="601" uniqueCount="108">
  <si>
    <t>Symbol</t>
  </si>
  <si>
    <t>Date</t>
  </si>
  <si>
    <t>Adj Close</t>
  </si>
  <si>
    <t>Monthly Return</t>
  </si>
  <si>
    <t>CURE</t>
  </si>
  <si>
    <t>IHF</t>
  </si>
  <si>
    <t>IHI</t>
  </si>
  <si>
    <t>RXL</t>
  </si>
  <si>
    <t>XLV</t>
  </si>
  <si>
    <t>Month</t>
  </si>
  <si>
    <t>Scenario</t>
  </si>
  <si>
    <t>Return</t>
  </si>
  <si>
    <t>Price</t>
  </si>
  <si>
    <t>Annual Return</t>
  </si>
  <si>
    <t>Mean</t>
  </si>
  <si>
    <t>Number of returns generated</t>
  </si>
  <si>
    <t>Current price (Yahoo Finance, adj close)</t>
  </si>
  <si>
    <t>Start Price</t>
  </si>
  <si>
    <t>End Price</t>
  </si>
  <si>
    <t>Expected % increase(decrease) in return over future period</t>
  </si>
  <si>
    <t xml:space="preserve">Investment </t>
  </si>
  <si>
    <t>Parameters</t>
  </si>
  <si>
    <t>Investment starting price</t>
  </si>
  <si>
    <t>Investment ending price</t>
  </si>
  <si>
    <t>Investment period (months)</t>
  </si>
  <si>
    <t>Metrics</t>
  </si>
  <si>
    <t>Num</t>
  </si>
  <si>
    <t>Standard deviation</t>
  </si>
  <si>
    <t>Probability of profit</t>
  </si>
  <si>
    <t>Probability of loss</t>
  </si>
  <si>
    <t>Min</t>
  </si>
  <si>
    <t>Max</t>
  </si>
  <si>
    <t>Starting Price</t>
  </si>
  <si>
    <t>Ending Price</t>
  </si>
  <si>
    <t>Monthly Fund Returns</t>
  </si>
  <si>
    <t>Generated Scenarios</t>
  </si>
  <si>
    <t>Generated scenarios initial price</t>
  </si>
  <si>
    <t>Allocation</t>
  </si>
  <si>
    <t>Std dev</t>
  </si>
  <si>
    <t>Total</t>
  </si>
  <si>
    <t>Final Value</t>
  </si>
  <si>
    <t>Date researched: 1/14/2022</t>
  </si>
  <si>
    <t>Google search: Projected S&amp;P 500 return 2022</t>
  </si>
  <si>
    <t>Ending Fund Price Over Projection Period</t>
  </si>
  <si>
    <t>Allocation %</t>
  </si>
  <si>
    <t>Fund</t>
  </si>
  <si>
    <t>Returns assessed from common starting point of $1</t>
  </si>
  <si>
    <t>Profit</t>
  </si>
  <si>
    <t>Loss</t>
  </si>
  <si>
    <t>Probability</t>
  </si>
  <si>
    <t>1-Yr Return</t>
  </si>
  <si>
    <t>Fund Name</t>
  </si>
  <si>
    <t>Direxion Daily Healthcare Bull 3X Shares</t>
  </si>
  <si>
    <t>iShares U.S. Healthcare Providers ETF</t>
  </si>
  <si>
    <t>iShares U.S. Medical Devices ETF </t>
  </si>
  <si>
    <t>ProShares Ultra Health Care</t>
  </si>
  <si>
    <t>Health Care Select Sector SPDR Fund</t>
  </si>
  <si>
    <t>Business Insider: return with dividends</t>
  </si>
  <si>
    <t>Investopedia: historical annualized average return</t>
  </si>
  <si>
    <t>Forbes.com</t>
  </si>
  <si>
    <t>Source</t>
  </si>
  <si>
    <t>SDev</t>
  </si>
  <si>
    <t>Average</t>
  </si>
  <si>
    <t>password</t>
  </si>
  <si>
    <t>Table of Contents</t>
  </si>
  <si>
    <t>Percentage allocation to each fund to minimize risk (standard deviation) and meet minimum return objective.</t>
  </si>
  <si>
    <t>Investment period</t>
  </si>
  <si>
    <t>months</t>
  </si>
  <si>
    <t>Projection period starting fund price</t>
  </si>
  <si>
    <t>UoM</t>
  </si>
  <si>
    <t>$</t>
  </si>
  <si>
    <t>Value linked from another tab</t>
  </si>
  <si>
    <t>Value</t>
  </si>
  <si>
    <t>Metric</t>
  </si>
  <si>
    <t>User entry</t>
  </si>
  <si>
    <t>Market</t>
  </si>
  <si>
    <t>Fund price date</t>
  </si>
  <si>
    <t>Analysis date</t>
  </si>
  <si>
    <t>Return period of historical fund data</t>
  </si>
  <si>
    <t>Monthly</t>
  </si>
  <si>
    <t>Price Date</t>
  </si>
  <si>
    <t>%</t>
  </si>
  <si>
    <t>Projected 2022 S&amp;P 500 market return</t>
  </si>
  <si>
    <t>ctrl-shift-L</t>
  </si>
  <si>
    <t>Password</t>
  </si>
  <si>
    <t>ctrl-shift-U</t>
  </si>
  <si>
    <t>Average projected market return</t>
  </si>
  <si>
    <t>Notes</t>
  </si>
  <si>
    <t>Enter on each fund worksheet</t>
  </si>
  <si>
    <t>Current price date</t>
  </si>
  <si>
    <t>date</t>
  </si>
  <si>
    <t>Expected % increase(decrease) in return</t>
  </si>
  <si>
    <t>Fund pricing</t>
  </si>
  <si>
    <t>Format key</t>
  </si>
  <si>
    <t>Investment projection</t>
  </si>
  <si>
    <t xml:space="preserve">General </t>
  </si>
  <si>
    <t>Aqua accent 5 font, light yellow background</t>
  </si>
  <si>
    <t>Minimum return objective</t>
  </si>
  <si>
    <t>Dates</t>
  </si>
  <si>
    <t>Dark green font #009E73</t>
  </si>
  <si>
    <t>Healthcare Funds Bootstrap Investment Analysis</t>
  </si>
  <si>
    <t>Analysis using bootstrap methodology on selected healthcare funds</t>
  </si>
  <si>
    <t>Macro: lock worksheet formulas</t>
  </si>
  <si>
    <t>Macro: unlock worksheet</t>
  </si>
  <si>
    <t>Number of periods of historical price data</t>
  </si>
  <si>
    <t>Months</t>
  </si>
  <si>
    <t>from 'Healthcare Funds.pbix'</t>
  </si>
  <si>
    <t>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</si>
</sst>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&quot;$&quot;#,##0.00"/>
    <numFmt numFmtId="166" formatCode="0.0%"/>
  </numFmts>
  <fonts count="18" x14ac:knownFonts="1">
    <font>
      <sz val="11"/>
      <color theme="1"/>
      <name val="Calibri"/>
      <family val="2"/>
    </font>
    <font>
      <sz val="8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b/>
      <sz val="14"/>
      <color theme="1"/>
      <name val="Calibri"/>
      <family val="2"/>
    </font>
    <font>
      <b/>
      <sz val="14"/>
      <color theme="3" tint="-0.249977111117893"/>
      <name val="Calibri"/>
      <family val="2"/>
    </font>
    <font>
      <i/>
      <sz val="11"/>
      <color theme="1" tint="0.34998626667073579"/>
      <name val="Calibri"/>
      <family val="2"/>
    </font>
    <font>
      <sz val="11"/>
      <color theme="8" tint="-0.249977111117893"/>
      <name val="Calibri"/>
      <family val="2"/>
    </font>
    <font>
      <b/>
      <sz val="11"/>
      <name val="Calibri"/>
      <family val="2"/>
    </font>
    <font>
      <u/>
      <sz val="11"/>
      <color theme="10"/>
      <name val="Calibri"/>
      <family val="2"/>
    </font>
    <font>
      <sz val="11"/>
      <color rgb="FF009E73"/>
      <name val="Calibri"/>
      <family val="2"/>
    </font>
    <font>
      <b/>
      <sz val="14"/>
      <color theme="8" tint="-0.499984740745262"/>
      <name val="Calibri"/>
      <family val="2"/>
    </font>
    <font>
      <b/>
      <u/>
      <sz val="11"/>
      <color theme="1"/>
      <name val="Calibri"/>
      <family val="2"/>
    </font>
    <font>
      <b/>
      <sz val="11"/>
      <color theme="3" tint="-0.249977111117893"/>
      <name val="Calibri"/>
      <family val="2"/>
    </font>
    <font>
      <sz val="10"/>
      <color theme="3" tint="-0.249977111117893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lightUp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Protection="1"/>
    <xf numFmtId="166" fontId="0" fillId="0" borderId="0" xfId="2" applyNumberFormat="1" applyFont="1" applyProtection="1"/>
    <xf numFmtId="166" fontId="0" fillId="0" borderId="0" xfId="0" applyNumberFormat="1" applyProtection="1"/>
    <xf numFmtId="165" fontId="0" fillId="0" borderId="0" xfId="0" applyNumberFormat="1" applyProtection="1"/>
    <xf numFmtId="166" fontId="0" fillId="0" borderId="2" xfId="2" applyNumberFormat="1" applyFont="1" applyBorder="1" applyProtection="1"/>
    <xf numFmtId="165" fontId="0" fillId="2" borderId="0" xfId="0" applyNumberFormat="1" applyFill="1" applyProtection="1"/>
    <xf numFmtId="164" fontId="0" fillId="0" borderId="0" xfId="0" applyNumberFormat="1" applyProtection="1"/>
    <xf numFmtId="164" fontId="0" fillId="6" borderId="0" xfId="0" applyNumberFormat="1" applyFill="1" applyProtection="1"/>
    <xf numFmtId="165" fontId="0" fillId="8" borderId="0" xfId="0" applyNumberFormat="1" applyFill="1" applyProtection="1"/>
    <xf numFmtId="165" fontId="0" fillId="11" borderId="0" xfId="0" applyNumberFormat="1" applyFill="1" applyProtection="1"/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3" fillId="0" borderId="1" xfId="0" applyFont="1" applyBorder="1" applyAlignment="1" applyProtection="1">
      <alignment horizontal="centerContinuous"/>
      <protection locked="0"/>
    </xf>
    <xf numFmtId="0" fontId="3" fillId="0" borderId="1" xfId="0" applyFont="1" applyBorder="1" applyAlignment="1" applyProtection="1">
      <protection locked="0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Fill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center"/>
      <protection locked="0"/>
    </xf>
    <xf numFmtId="166" fontId="0" fillId="0" borderId="0" xfId="2" applyNumberFormat="1" applyFont="1" applyProtection="1">
      <protection locked="0"/>
    </xf>
    <xf numFmtId="0" fontId="3" fillId="0" borderId="0" xfId="0" applyFont="1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165" fontId="0" fillId="0" borderId="0" xfId="0" applyNumberFormat="1" applyProtection="1">
      <protection locked="0"/>
    </xf>
    <xf numFmtId="0" fontId="3" fillId="9" borderId="1" xfId="0" applyFont="1" applyFill="1" applyBorder="1" applyAlignment="1" applyProtection="1">
      <alignment horizontal="right"/>
      <protection locked="0"/>
    </xf>
    <xf numFmtId="14" fontId="0" fillId="0" borderId="0" xfId="0" applyNumberFormat="1" applyProtection="1">
      <protection locked="0"/>
    </xf>
    <xf numFmtId="0" fontId="3" fillId="10" borderId="0" xfId="0" applyFont="1" applyFill="1" applyAlignment="1" applyProtection="1">
      <alignment horizontal="right"/>
      <protection locked="0"/>
    </xf>
    <xf numFmtId="0" fontId="3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3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3" fillId="7" borderId="0" xfId="0" applyFont="1" applyFill="1" applyProtection="1">
      <protection locked="0"/>
    </xf>
    <xf numFmtId="0" fontId="0" fillId="2" borderId="0" xfId="0" applyFill="1" applyProtection="1">
      <protection locked="0"/>
    </xf>
    <xf numFmtId="1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3" fillId="11" borderId="1" xfId="0" applyFont="1" applyFill="1" applyBorder="1" applyAlignment="1" applyProtection="1">
      <alignment horizontal="right"/>
      <protection locked="0"/>
    </xf>
    <xf numFmtId="0" fontId="3" fillId="6" borderId="1" xfId="0" applyFont="1" applyFill="1" applyBorder="1" applyAlignment="1" applyProtection="1">
      <alignment horizontal="right"/>
      <protection locked="0"/>
    </xf>
    <xf numFmtId="0" fontId="3" fillId="8" borderId="1" xfId="0" applyFont="1" applyFill="1" applyBorder="1" applyAlignment="1" applyProtection="1">
      <alignment horizontal="right"/>
      <protection locked="0"/>
    </xf>
    <xf numFmtId="165" fontId="10" fillId="3" borderId="0" xfId="0" applyNumberFormat="1" applyFont="1" applyFill="1" applyProtection="1">
      <protection locked="0"/>
    </xf>
    <xf numFmtId="0" fontId="9" fillId="0" borderId="0" xfId="0" applyFont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Font="1" applyProtection="1">
      <protection locked="0"/>
    </xf>
    <xf numFmtId="0" fontId="3" fillId="0" borderId="3" xfId="0" applyFont="1" applyBorder="1" applyProtection="1">
      <protection locked="0"/>
    </xf>
    <xf numFmtId="0" fontId="0" fillId="0" borderId="1" xfId="0" applyBorder="1" applyProtection="1">
      <protection locked="0"/>
    </xf>
    <xf numFmtId="0" fontId="10" fillId="3" borderId="0" xfId="0" applyFont="1" applyFill="1" applyProtection="1">
      <protection locked="0"/>
    </xf>
    <xf numFmtId="14" fontId="10" fillId="3" borderId="0" xfId="0" applyNumberFormat="1" applyFont="1" applyFill="1" applyProtection="1">
      <protection locked="0"/>
    </xf>
    <xf numFmtId="166" fontId="10" fillId="3" borderId="0" xfId="2" applyNumberFormat="1" applyFont="1" applyFill="1" applyProtection="1">
      <protection locked="0"/>
    </xf>
    <xf numFmtId="0" fontId="0" fillId="0" borderId="0" xfId="0" applyNumberFormat="1" applyProtection="1">
      <protection locked="0"/>
    </xf>
    <xf numFmtId="3" fontId="0" fillId="0" borderId="0" xfId="1" applyNumberFormat="1" applyFont="1" applyProtection="1"/>
    <xf numFmtId="9" fontId="0" fillId="0" borderId="0" xfId="2" applyNumberFormat="1" applyFont="1" applyProtection="1"/>
    <xf numFmtId="165" fontId="6" fillId="0" borderId="0" xfId="0" applyNumberFormat="1" applyFont="1" applyProtection="1"/>
    <xf numFmtId="0" fontId="11" fillId="0" borderId="1" xfId="0" applyFont="1" applyBorder="1" applyProtection="1">
      <protection locked="0"/>
    </xf>
    <xf numFmtId="0" fontId="11" fillId="0" borderId="1" xfId="0" applyFont="1" applyBorder="1" applyAlignment="1" applyProtection="1">
      <alignment horizontal="right"/>
      <protection locked="0"/>
    </xf>
    <xf numFmtId="164" fontId="0" fillId="2" borderId="0" xfId="0" applyNumberFormat="1" applyFill="1" applyProtection="1"/>
    <xf numFmtId="0" fontId="12" fillId="0" borderId="0" xfId="3" applyProtection="1">
      <protection locked="0"/>
    </xf>
    <xf numFmtId="0" fontId="14" fillId="0" borderId="0" xfId="0" applyFont="1" applyProtection="1">
      <protection locked="0"/>
    </xf>
    <xf numFmtId="0" fontId="0" fillId="0" borderId="0" xfId="0" quotePrefix="1" applyProtection="1">
      <protection locked="0"/>
    </xf>
    <xf numFmtId="14" fontId="0" fillId="0" borderId="0" xfId="0" applyNumberFormat="1" applyProtection="1"/>
    <xf numFmtId="0" fontId="12" fillId="0" borderId="0" xfId="3" applyProtection="1"/>
    <xf numFmtId="0" fontId="8" fillId="0" borderId="0" xfId="0" applyFont="1" applyProtection="1"/>
    <xf numFmtId="166" fontId="0" fillId="0" borderId="0" xfId="2" applyNumberFormat="1" applyFont="1" applyFill="1" applyProtection="1"/>
    <xf numFmtId="166" fontId="0" fillId="0" borderId="0" xfId="2" applyNumberFormat="1" applyFont="1" applyFill="1" applyAlignment="1" applyProtection="1">
      <alignment horizontal="center"/>
    </xf>
    <xf numFmtId="166" fontId="0" fillId="0" borderId="0" xfId="0" applyNumberFormat="1" applyAlignment="1" applyProtection="1">
      <alignment horizontal="center"/>
    </xf>
    <xf numFmtId="166" fontId="0" fillId="0" borderId="0" xfId="2" applyNumberFormat="1" applyFont="1" applyFill="1" applyBorder="1" applyProtection="1"/>
    <xf numFmtId="0" fontId="7" fillId="0" borderId="0" xfId="0" applyFont="1" applyProtection="1"/>
    <xf numFmtId="166" fontId="3" fillId="0" borderId="3" xfId="0" applyNumberFormat="1" applyFont="1" applyBorder="1" applyProtection="1"/>
    <xf numFmtId="0" fontId="0" fillId="0" borderId="0" xfId="0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right"/>
      <protection locked="0"/>
    </xf>
    <xf numFmtId="0" fontId="0" fillId="12" borderId="0" xfId="0" applyFill="1" applyProtection="1">
      <protection locked="0"/>
    </xf>
    <xf numFmtId="0" fontId="0" fillId="12" borderId="0" xfId="0" applyFill="1" applyProtection="1"/>
    <xf numFmtId="0" fontId="15" fillId="0" borderId="0" xfId="0" applyFont="1" applyProtection="1">
      <protection locked="0"/>
    </xf>
    <xf numFmtId="0" fontId="3" fillId="0" borderId="0" xfId="0" applyFont="1" applyBorder="1" applyProtection="1"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2" borderId="0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0" fillId="0" borderId="0" xfId="0" applyFill="1" applyProtection="1">
      <protection locked="0"/>
    </xf>
    <xf numFmtId="166" fontId="13" fillId="0" borderId="0" xfId="2" applyNumberFormat="1" applyFont="1" applyFill="1" applyProtection="1"/>
    <xf numFmtId="14" fontId="13" fillId="0" borderId="0" xfId="0" applyNumberFormat="1" applyFont="1" applyProtection="1"/>
    <xf numFmtId="165" fontId="13" fillId="0" borderId="0" xfId="0" applyNumberFormat="1" applyFont="1" applyFill="1" applyProtection="1"/>
    <xf numFmtId="0" fontId="13" fillId="0" borderId="0" xfId="0" applyFont="1" applyFill="1" applyProtection="1"/>
    <xf numFmtId="0" fontId="17" fillId="0" borderId="0" xfId="0" applyFont="1" applyProtection="1">
      <protection locked="0"/>
    </xf>
    <xf numFmtId="0" fontId="16" fillId="0" borderId="1" xfId="0" applyFont="1" applyBorder="1" applyProtection="1">
      <protection locked="0"/>
    </xf>
    <xf numFmtId="166" fontId="10" fillId="13" borderId="5" xfId="2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165" fontId="13" fillId="0" borderId="0" xfId="0" applyNumberFormat="1" applyFont="1" applyFill="1" applyAlignment="1" applyProtection="1">
      <alignment horizontal="center"/>
      <protection locked="0"/>
    </xf>
    <xf numFmtId="0" fontId="10" fillId="3" borderId="0" xfId="0" applyFont="1" applyFill="1" applyAlignment="1" applyProtection="1">
      <alignment horizontal="center"/>
      <protection locked="0"/>
    </xf>
    <xf numFmtId="0" fontId="8" fillId="2" borderId="0" xfId="0" applyFont="1" applyFill="1" applyProtection="1"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44">
    <dxf>
      <numFmt numFmtId="164" formatCode="0.0000"/>
      <protection locked="1" hidden="0"/>
    </dxf>
    <dxf>
      <numFmt numFmtId="164" formatCode="0.0000"/>
      <protection locked="1" hidden="0"/>
    </dxf>
    <dxf>
      <numFmt numFmtId="164" formatCode="0.0000"/>
      <protection locked="1" hidden="0"/>
    </dxf>
    <dxf>
      <numFmt numFmtId="164" formatCode="0.0000"/>
      <protection locked="1" hidden="0"/>
    </dxf>
    <dxf>
      <numFmt numFmtId="164" formatCode="0.0000"/>
      <protection locked="1" hidden="0"/>
    </dxf>
    <dxf>
      <protection locked="0" hidden="0"/>
    </dxf>
    <dxf>
      <protection locked="0" hidden="0"/>
    </dxf>
    <dxf>
      <numFmt numFmtId="19" formatCode="m/d/yyyy"/>
      <protection locked="0" hidden="0"/>
    </dxf>
    <dxf>
      <numFmt numFmtId="19" formatCode="m/d/yyyy"/>
      <protection locked="0" hidden="0"/>
    </dxf>
    <dxf>
      <numFmt numFmtId="164" formatCode="0.0000"/>
      <protection locked="0" hidden="0"/>
    </dxf>
    <dxf>
      <numFmt numFmtId="165" formatCode="&quot;$&quot;#,##0.00"/>
      <protection locked="0" hidden="0"/>
    </dxf>
    <dxf>
      <numFmt numFmtId="19" formatCode="m/d/yyyy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164" formatCode="0.0000"/>
      <protection locked="0" hidden="0"/>
    </dxf>
    <dxf>
      <numFmt numFmtId="165" formatCode="&quot;$&quot;#,##0.00"/>
      <protection locked="0" hidden="0"/>
    </dxf>
    <dxf>
      <numFmt numFmtId="19" formatCode="m/d/yyyy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164" formatCode="0.0000"/>
      <protection locked="0" hidden="0"/>
    </dxf>
    <dxf>
      <numFmt numFmtId="165" formatCode="&quot;$&quot;#,##0.00"/>
      <protection locked="0" hidden="0"/>
    </dxf>
    <dxf>
      <numFmt numFmtId="19" formatCode="m/d/yyyy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164" formatCode="0.0000"/>
      <protection locked="0" hidden="0"/>
    </dxf>
    <dxf>
      <numFmt numFmtId="165" formatCode="&quot;$&quot;#,##0.00"/>
      <protection locked="0" hidden="0"/>
    </dxf>
    <dxf>
      <numFmt numFmtId="19" formatCode="m/d/yyyy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164" formatCode="0.0000"/>
      <protection locked="0" hidden="0"/>
    </dxf>
    <dxf>
      <numFmt numFmtId="165" formatCode="&quot;$&quot;#,##0.00"/>
      <protection locked="0" hidden="0"/>
    </dxf>
    <dxf>
      <numFmt numFmtId="19" formatCode="m/d/yyyy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009E73"/>
      <color rgb="FFFFFFCC"/>
      <color rgb="FF7DBDB8"/>
      <color rgb="FF40B0A6"/>
      <color rgb="FFE1BE6A"/>
      <color rgb="FFE69F00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</xdr:colOff>
      <xdr:row>3</xdr:row>
      <xdr:rowOff>85725</xdr:rowOff>
    </xdr:from>
    <xdr:to>
      <xdr:col>20</xdr:col>
      <xdr:colOff>599318</xdr:colOff>
      <xdr:row>14</xdr:row>
      <xdr:rowOff>85456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8A703F-6560-497F-9938-1D4DFCF9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48275" y="657225"/>
          <a:ext cx="6057143" cy="2152381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</xdr:colOff>
      <xdr:row>14</xdr:row>
      <xdr:rowOff>47625</xdr:rowOff>
    </xdr:from>
    <xdr:to>
      <xdr:col>21</xdr:col>
      <xdr:colOff>275432</xdr:colOff>
      <xdr:row>27</xdr:row>
      <xdr:rowOff>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B03A931-C55B-45D4-8EEB-9BF362C76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48275" y="3162300"/>
          <a:ext cx="6342857" cy="24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</xdr:colOff>
      <xdr:row>27</xdr:row>
      <xdr:rowOff>47625</xdr:rowOff>
    </xdr:from>
    <xdr:to>
      <xdr:col>20</xdr:col>
      <xdr:colOff>123127</xdr:colOff>
      <xdr:row>33</xdr:row>
      <xdr:rowOff>57006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6A54658-EA48-46C8-A4EB-C56D23598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48275" y="5638800"/>
          <a:ext cx="5580952" cy="115238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E48CF4-B672-4BA5-B19C-32B9EE448213}" name="MonthlyReturnsAllFunds" displayName="MonthlyReturnsAllFunds" ref="U13:AA73" totalsRowShown="0" headerRowDxfId="6" dataDxfId="5">
  <autoFilter ref="U13:AA73" xr:uid="{407EC8BE-C22E-4A3C-8B92-A766BEDE8538}"/>
  <tableColumns count="7">
    <tableColumn id="1" xr3:uid="{A8A41340-A345-4D6A-865B-0F267F37F5AA}" name="Date" dataDxfId="8"/>
    <tableColumn id="7" xr3:uid="{D7556DD8-8AFC-4A25-B2CB-F971A44465D2}" name="Scenario" dataDxfId="7"/>
    <tableColumn id="2" xr3:uid="{F6626967-3DB4-45B0-AD43-362EAA77B20F}" name="CURE" dataDxfId="4">
      <calculatedColumnFormula>INDEX(CURE[Monthly Return],MATCH($U14,CURE[Date],0))</calculatedColumnFormula>
    </tableColumn>
    <tableColumn id="3" xr3:uid="{52C441CD-3F20-49DE-AAC4-FBC0DD985FF1}" name="IHF" dataDxfId="3">
      <calculatedColumnFormula>INDEX(IHF[Monthly Return],MATCH($U14,IHF[Date],0))</calculatedColumnFormula>
    </tableColumn>
    <tableColumn id="4" xr3:uid="{5DDE7570-75EA-43CF-A9F4-B1BD81FCF8E9}" name="IHI" dataDxfId="2">
      <calculatedColumnFormula>INDEX(IHI[Monthly Return],MATCH($U14,IHI[Date],0))</calculatedColumnFormula>
    </tableColumn>
    <tableColumn id="5" xr3:uid="{4E72BA60-A50E-4384-8373-422F0C67CC90}" name="RXL" dataDxfId="1">
      <calculatedColumnFormula>INDEX(RXL[Monthly Return],MATCH($U14,RXL[Date],0))</calculatedColumnFormula>
    </tableColumn>
    <tableColumn id="6" xr3:uid="{291ED1A9-FEA3-4A69-9DAD-01DBE5F8F562}" name="XLV" dataDxfId="0">
      <calculatedColumnFormula>INDEX(XLV[Monthly Return],MATCH($U14,XLV[Date],0))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9A14434-6833-40C9-93F2-9355DE82EF5A}" name="CURE" displayName="CURE" ref="D17:H77" totalsRowShown="0" headerRowDxfId="43" dataDxfId="42">
  <autoFilter ref="D17:H77" xr:uid="{B9A14434-6833-40C9-93F2-9355DE82EF5A}"/>
  <tableColumns count="5">
    <tableColumn id="5" xr3:uid="{48810F32-2E72-4F29-A380-4BB538A3F3C9}" name="Symbol" dataDxfId="41"/>
    <tableColumn id="6" xr3:uid="{8576EE63-C754-4F34-9BF1-6DF4CC9AC130}" name="Scenario" dataDxfId="40"/>
    <tableColumn id="2" xr3:uid="{05A95AF3-55D2-4084-875A-00EFFB321B9E}" name="Date" dataDxfId="39"/>
    <tableColumn id="3" xr3:uid="{D8C30C38-61F4-4F23-92A6-84A9B353FF60}" name="Adj Close" dataDxfId="38"/>
    <tableColumn id="4" xr3:uid="{A41863D9-4CDA-4DA4-AAC0-E2D7854C6584}" name="Monthly Return" dataDxfId="37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AEBBF3-6559-4AE0-8CA2-37C767C4FB97}" name="IHF" displayName="IHF" ref="D17:H77" totalsRowShown="0" headerRowDxfId="36" dataDxfId="35">
  <autoFilter ref="D17:H77" xr:uid="{A3AEBBF3-6559-4AE0-8CA2-37C767C4FB97}"/>
  <tableColumns count="5">
    <tableColumn id="5" xr3:uid="{146B390A-3710-4376-9B9C-58AA5BCFEB29}" name="Symbol" dataDxfId="34"/>
    <tableColumn id="1" xr3:uid="{B7D1CFCF-C467-4DD6-962E-A111F5878485}" name="Scenario" dataDxfId="33"/>
    <tableColumn id="2" xr3:uid="{6485E30D-A8FF-4A28-A569-472EDE575744}" name="Date" dataDxfId="32"/>
    <tableColumn id="3" xr3:uid="{13461A9A-CD00-4690-8299-340DCD1A0F7C}" name="Adj Close" dataDxfId="31"/>
    <tableColumn id="4" xr3:uid="{D1D490BE-2D22-40C2-96DB-28589C2556FD}" name="Monthly Return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208382-BC40-46B9-89A5-69877D061262}" name="IHI" displayName="IHI" ref="D17:H77" totalsRowShown="0" headerRowDxfId="29" dataDxfId="28">
  <autoFilter ref="D17:H77" xr:uid="{44208382-BC40-46B9-89A5-69877D061262}"/>
  <tableColumns count="5">
    <tableColumn id="5" xr3:uid="{ECD3CB44-7B3C-4389-B9B4-CEAB40AD7A03}" name="Symbol" dataDxfId="27"/>
    <tableColumn id="1" xr3:uid="{FBD0297C-6474-4EEB-A64B-494CBCD7EE23}" name="Scenario" dataDxfId="26"/>
    <tableColumn id="2" xr3:uid="{6A6405B8-E2ED-401B-B095-3395A91211AF}" name="Date" dataDxfId="25"/>
    <tableColumn id="3" xr3:uid="{A91BDA69-19F4-4E64-AE26-3853349D683D}" name="Adj Close" dataDxfId="24"/>
    <tableColumn id="4" xr3:uid="{317ADE81-EF34-49AD-8699-96121067FDFE}" name="Monthly Return" dataDxfId="23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2F9731-612A-4384-A14E-77012E30F7CC}" name="RXL" displayName="RXL" ref="D17:H77" totalsRowShown="0" headerRowDxfId="22" dataDxfId="21">
  <autoFilter ref="D17:H77" xr:uid="{972F9731-612A-4384-A14E-77012E30F7CC}"/>
  <tableColumns count="5">
    <tableColumn id="5" xr3:uid="{4B5B4309-2650-40F1-858D-142D341A2ED3}" name="Symbol" dataDxfId="20"/>
    <tableColumn id="1" xr3:uid="{CD4AF1CF-8CE5-4EAE-8B92-D132EE6882C6}" name="Scenario" dataDxfId="19"/>
    <tableColumn id="2" xr3:uid="{B9F0691F-5C70-4D0F-AE07-C192F21A9337}" name="Date" dataDxfId="18"/>
    <tableColumn id="3" xr3:uid="{D190D02A-A03B-4D06-83FA-6764A4519B3A}" name="Adj Close" dataDxfId="17"/>
    <tableColumn id="4" xr3:uid="{63D1F689-1E49-4F42-ABF2-2E11B5DE2BEF}" name="Monthly Return" dataDxfId="16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D6730E-900F-4CD2-8934-308E9C8358CE}" name="XLV" displayName="XLV" ref="D17:H77" totalsRowShown="0" headerRowDxfId="15" dataDxfId="14">
  <autoFilter ref="D17:H77" xr:uid="{2BD6730E-900F-4CD2-8934-308E9C8358CE}"/>
  <tableColumns count="5">
    <tableColumn id="5" xr3:uid="{51553596-399C-4CCF-9172-C9190DA6AFD5}" name="Symbol" dataDxfId="13"/>
    <tableColumn id="1" xr3:uid="{8C21545A-3FE8-4ED5-9DED-D81A2E14149F}" name="Scenario" dataDxfId="12"/>
    <tableColumn id="2" xr3:uid="{576C2686-3081-48CD-9655-0DAB33069E90}" name="Date" dataDxfId="11"/>
    <tableColumn id="3" xr3:uid="{76AB5561-4ADE-495E-ABB1-694083FE02B7}" name="Adj Close" dataDxfId="10"/>
    <tableColumn id="4" xr3:uid="{E8451426-3A47-4FC0-97EC-FA3CC9CB6CB0}" name="Monthly Return" dataDxfId="9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Crop">
  <a:themeElements>
    <a:clrScheme name="Crop">
      <a:dk1>
        <a:sysClr val="windowText" lastClr="000000"/>
      </a:dk1>
      <a:lt1>
        <a:sysClr val="window" lastClr="FFFFFF"/>
      </a:lt1>
      <a:dk2>
        <a:srgbClr val="191B0E"/>
      </a:dk2>
      <a:lt2>
        <a:srgbClr val="EFEDE3"/>
      </a:lt2>
      <a:accent1>
        <a:srgbClr val="8C8D86"/>
      </a:accent1>
      <a:accent2>
        <a:srgbClr val="E6C069"/>
      </a:accent2>
      <a:accent3>
        <a:srgbClr val="897B61"/>
      </a:accent3>
      <a:accent4>
        <a:srgbClr val="8DAB8E"/>
      </a:accent4>
      <a:accent5>
        <a:srgbClr val="77A2BB"/>
      </a:accent5>
      <a:accent6>
        <a:srgbClr val="E28394"/>
      </a:accent6>
      <a:hlink>
        <a:srgbClr val="77A2BB"/>
      </a:hlink>
      <a:folHlink>
        <a:srgbClr val="957A99"/>
      </a:folHlink>
    </a:clrScheme>
    <a:fontScheme name="Crop">
      <a:majorFont>
        <a:latin typeface="Franklin Gothic Book" panose="020B0503020102020204"/>
        <a:ea typeface=""/>
        <a:cs typeface=""/>
        <a:font script="Jpan" typeface="メイリオ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メイリオ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rop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34925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rop" id="{EC9488ED-E761-4D60-9AC4-764D1FE2C171}" vid="{CE19780C-D67D-4C13-9DE9-A52BC3BA51B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6AA3-C7A6-4FFF-AC3A-7E6A5F5B80CF}">
  <sheetPr codeName="Sheet1">
    <tabColor theme="0" tint="-0.34998626667073579"/>
  </sheetPr>
  <dimension ref="D2:I23"/>
  <sheetViews>
    <sheetView showGridLines="0" workbookViewId="0">
      <selection activeCell="K5" sqref="K5"/>
    </sheetView>
  </sheetViews>
  <sheetFormatPr defaultRowHeight="15" x14ac:dyDescent="0.25"/>
  <cols>
    <col min="1" max="3" width="1.7109375" style="11" customWidth="1"/>
    <col min="4" max="4" width="2.28515625" style="11" customWidth="1"/>
    <col min="5" max="5" width="4.140625" style="11" customWidth="1"/>
    <col min="6" max="6" width="13.42578125" style="11" customWidth="1"/>
    <col min="7" max="8" width="9.7109375" style="11" bestFit="1" customWidth="1"/>
    <col min="9" max="16384" width="9.140625" style="11"/>
  </cols>
  <sheetData>
    <row r="2" spans="4:9" ht="18.75" x14ac:dyDescent="0.3">
      <c r="D2" s="55" t="s">
        <v>100</v>
      </c>
    </row>
    <row r="3" spans="4:9" x14ac:dyDescent="0.25">
      <c r="D3" s="11" t="s">
        <v>101</v>
      </c>
    </row>
    <row r="4" spans="4:9" x14ac:dyDescent="0.25">
      <c r="D4" s="11" t="s">
        <v>106</v>
      </c>
    </row>
    <row r="6" spans="4:9" x14ac:dyDescent="0.25">
      <c r="E6" s="41" t="s">
        <v>77</v>
      </c>
      <c r="G6" s="78">
        <f>Assumptions!F12</f>
        <v>44579</v>
      </c>
    </row>
    <row r="7" spans="4:9" x14ac:dyDescent="0.25">
      <c r="E7" s="41" t="s">
        <v>76</v>
      </c>
      <c r="G7" s="57">
        <f t="array" ref="G7">IF(AND(EXACT(About!G15:G19,About!G15)),About!G15,"Check price dates")</f>
        <v>44578</v>
      </c>
    </row>
    <row r="9" spans="4:9" x14ac:dyDescent="0.25">
      <c r="D9" s="75" t="s">
        <v>64</v>
      </c>
      <c r="E9" s="32"/>
      <c r="F9" s="32"/>
      <c r="G9" s="32"/>
      <c r="H9" s="32"/>
      <c r="I9" s="76"/>
    </row>
    <row r="10" spans="4:9" x14ac:dyDescent="0.25">
      <c r="E10" s="11">
        <v>1</v>
      </c>
      <c r="F10" s="58" t="str">
        <f>INDEX(SheetNames,E10)</f>
        <v>About</v>
      </c>
      <c r="H10" s="76"/>
      <c r="I10" s="76"/>
    </row>
    <row r="11" spans="4:9" x14ac:dyDescent="0.25">
      <c r="E11" s="11">
        <v>2</v>
      </c>
      <c r="F11" s="58" t="str">
        <f>INDEX(SheetNames,E11)</f>
        <v>Assumptions</v>
      </c>
      <c r="H11" s="76"/>
      <c r="I11" s="76"/>
    </row>
    <row r="12" spans="4:9" x14ac:dyDescent="0.25">
      <c r="E12" s="11">
        <v>3</v>
      </c>
      <c r="F12" s="58" t="str">
        <f>INDEX(SheetNames,E12)</f>
        <v>Fund Allocation</v>
      </c>
      <c r="H12" s="76"/>
      <c r="I12" s="76"/>
    </row>
    <row r="13" spans="4:9" x14ac:dyDescent="0.25">
      <c r="F13" s="54"/>
      <c r="H13" s="76"/>
      <c r="I13" s="76"/>
    </row>
    <row r="14" spans="4:9" x14ac:dyDescent="0.25">
      <c r="F14" s="74" t="s">
        <v>45</v>
      </c>
      <c r="G14" s="74" t="s">
        <v>80</v>
      </c>
      <c r="H14" s="32"/>
      <c r="I14" s="76"/>
    </row>
    <row r="15" spans="4:9" x14ac:dyDescent="0.25">
      <c r="D15" s="56"/>
      <c r="E15" s="11">
        <v>4</v>
      </c>
      <c r="F15" s="58" t="str">
        <f>INDEX(SheetNames,E15)</f>
        <v>CURE</v>
      </c>
      <c r="G15" s="78">
        <f>'CURE'!$G$9</f>
        <v>44578</v>
      </c>
      <c r="H15" s="76"/>
      <c r="I15" s="76"/>
    </row>
    <row r="16" spans="4:9" x14ac:dyDescent="0.25">
      <c r="D16" s="56"/>
      <c r="E16" s="11">
        <v>5</v>
      </c>
      <c r="F16" s="58" t="str">
        <f>INDEX(SheetNames,E16)</f>
        <v>IHF</v>
      </c>
      <c r="G16" s="78">
        <f>IHF!$G$9</f>
        <v>44578</v>
      </c>
      <c r="H16" s="76"/>
      <c r="I16" s="76"/>
    </row>
    <row r="17" spans="4:9" x14ac:dyDescent="0.25">
      <c r="D17" s="56"/>
      <c r="E17" s="11">
        <v>6</v>
      </c>
      <c r="F17" s="58" t="str">
        <f>INDEX(SheetNames,E17)</f>
        <v>IHI</v>
      </c>
      <c r="G17" s="78">
        <f>IHI!$G$9</f>
        <v>44578</v>
      </c>
      <c r="H17" s="76"/>
      <c r="I17" s="76"/>
    </row>
    <row r="18" spans="4:9" x14ac:dyDescent="0.25">
      <c r="D18" s="56"/>
      <c r="E18" s="11">
        <v>7</v>
      </c>
      <c r="F18" s="58" t="str">
        <f>INDEX(SheetNames,E18)</f>
        <v>RXL</v>
      </c>
      <c r="G18" s="78">
        <f>'RXL'!$G$9</f>
        <v>44578</v>
      </c>
      <c r="H18" s="76"/>
      <c r="I18" s="76"/>
    </row>
    <row r="19" spans="4:9" x14ac:dyDescent="0.25">
      <c r="E19" s="11">
        <v>8</v>
      </c>
      <c r="F19" s="58" t="str">
        <f t="shared" ref="F19" si="0">INDEX(SheetNames,E19)</f>
        <v>XLV</v>
      </c>
      <c r="G19" s="78">
        <f>XLV!$G$9</f>
        <v>44578</v>
      </c>
      <c r="H19" s="76"/>
      <c r="I19" s="76"/>
    </row>
    <row r="20" spans="4:9" x14ac:dyDescent="0.25">
      <c r="H20" s="76"/>
      <c r="I20" s="76"/>
    </row>
    <row r="21" spans="4:9" x14ac:dyDescent="0.25">
      <c r="F21" s="75" t="s">
        <v>75</v>
      </c>
      <c r="G21" s="32"/>
      <c r="H21" s="32"/>
      <c r="I21" s="76"/>
    </row>
    <row r="22" spans="4:9" x14ac:dyDescent="0.25">
      <c r="E22" s="11">
        <v>9</v>
      </c>
      <c r="F22" s="58" t="str">
        <f t="shared" ref="F22" si="1">INDEX(SheetNames,E22)</f>
        <v>Market Return</v>
      </c>
      <c r="H22" s="76"/>
      <c r="I22" s="76"/>
    </row>
    <row r="23" spans="4:9" x14ac:dyDescent="0.25">
      <c r="I23" s="76"/>
    </row>
  </sheetData>
  <sheetProtection sheet="1" objects="1" scenarios="1"/>
  <hyperlinks>
    <hyperlink ref="F19" location="'Market Return'!A1" display="'Market Return'!A1" xr:uid="{860FDBD3-C020-474F-AD73-288C1A008060}"/>
    <hyperlink ref="F10" location="TOC!A1" display="TOC!A1" xr:uid="{00736359-CEE9-4140-AC33-324FFA09C58E}"/>
    <hyperlink ref="F12" location="'CURE'!A1" display="'CURE'!A1" xr:uid="{5B1F378D-D31B-4175-BC74-7AA653F7778D}"/>
    <hyperlink ref="F15" location="IHF!A1" display="IHF!A1" xr:uid="{A7A66ED8-3249-4002-ABB2-9B7760150F79}"/>
    <hyperlink ref="F16" location="IHI!A1" display="IHI!A1" xr:uid="{D0FCE92D-4DC2-4515-AC5F-59EB1E8BCEB5}"/>
    <hyperlink ref="F17" location="'RXL'!A1" display="'RXL'!A1" xr:uid="{F7F3ABE7-49DE-4E2F-A1AB-559948268C81}"/>
    <hyperlink ref="F18" location="XLV!A1" display="XLV!A1" xr:uid="{3B953F45-45DB-4CBD-B74A-DFBA8970FA29}"/>
    <hyperlink ref="F11" location="TOC!A1" display="TOC!A1" xr:uid="{BC99644D-7E86-4EBD-8AED-3B08F0996288}"/>
    <hyperlink ref="F22" location="'Market Return'!A1" display="'Market Return'!A1" xr:uid="{84D7A3E0-1DCF-400A-A27F-7056518D7D1F}"/>
  </hyperlink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588E6-E0BD-4225-8806-FDD7ECDB980B}">
  <sheetPr codeName="Sheet2">
    <tabColor theme="5" tint="0.59999389629810485"/>
  </sheetPr>
  <dimension ref="D2:G31"/>
  <sheetViews>
    <sheetView showGridLines="0" workbookViewId="0">
      <selection activeCell="F21" sqref="F21"/>
    </sheetView>
  </sheetViews>
  <sheetFormatPr defaultRowHeight="15" x14ac:dyDescent="0.25"/>
  <cols>
    <col min="1" max="3" width="1.7109375" style="11" customWidth="1"/>
    <col min="4" max="4" width="40.5703125" style="11" customWidth="1"/>
    <col min="5" max="5" width="9.140625" style="66"/>
    <col min="6" max="6" width="10.5703125" style="11" bestFit="1" customWidth="1"/>
    <col min="7" max="7" width="47.28515625" style="11" bestFit="1" customWidth="1"/>
    <col min="8" max="8" width="10.5703125" style="11" bestFit="1" customWidth="1"/>
    <col min="9" max="16384" width="9.140625" style="11"/>
  </cols>
  <sheetData>
    <row r="2" spans="4:7" x14ac:dyDescent="0.25">
      <c r="D2" s="54" t="s">
        <v>64</v>
      </c>
    </row>
    <row r="4" spans="4:7" ht="18.75" x14ac:dyDescent="0.3">
      <c r="D4" s="59" t="str">
        <f ca="1">MID(CELL("filename",A1),FIND("]",CELL("filename",A1))+1,255)</f>
        <v>Assumptions</v>
      </c>
    </row>
    <row r="5" spans="4:7" x14ac:dyDescent="0.25">
      <c r="D5" s="81"/>
    </row>
    <row r="6" spans="4:7" x14ac:dyDescent="0.25">
      <c r="D6" s="82" t="s">
        <v>95</v>
      </c>
      <c r="E6" s="18"/>
      <c r="F6" s="40"/>
      <c r="G6" s="40"/>
    </row>
    <row r="7" spans="4:7" x14ac:dyDescent="0.25">
      <c r="D7" s="41" t="s">
        <v>84</v>
      </c>
      <c r="F7" s="11" t="s">
        <v>63</v>
      </c>
    </row>
    <row r="8" spans="4:7" x14ac:dyDescent="0.25">
      <c r="D8" s="41" t="s">
        <v>102</v>
      </c>
      <c r="F8" s="11" t="s">
        <v>83</v>
      </c>
    </row>
    <row r="9" spans="4:7" x14ac:dyDescent="0.25">
      <c r="D9" s="41" t="s">
        <v>103</v>
      </c>
      <c r="F9" s="11" t="s">
        <v>85</v>
      </c>
    </row>
    <row r="11" spans="4:7" x14ac:dyDescent="0.25">
      <c r="D11" s="40" t="s">
        <v>98</v>
      </c>
      <c r="E11" s="18" t="s">
        <v>69</v>
      </c>
      <c r="F11" s="15" t="s">
        <v>72</v>
      </c>
      <c r="G11" s="40" t="s">
        <v>87</v>
      </c>
    </row>
    <row r="12" spans="4:7" x14ac:dyDescent="0.25">
      <c r="D12" s="41" t="s">
        <v>77</v>
      </c>
      <c r="F12" s="45">
        <v>44579</v>
      </c>
    </row>
    <row r="13" spans="4:7" x14ac:dyDescent="0.25">
      <c r="D13" s="41" t="s">
        <v>76</v>
      </c>
      <c r="F13" s="78">
        <f>About!G7</f>
        <v>44578</v>
      </c>
    </row>
    <row r="14" spans="4:7" x14ac:dyDescent="0.25">
      <c r="D14" s="11" t="s">
        <v>104</v>
      </c>
      <c r="E14" s="66" t="s">
        <v>105</v>
      </c>
      <c r="F14" s="44">
        <v>60</v>
      </c>
    </row>
    <row r="15" spans="4:7" x14ac:dyDescent="0.25">
      <c r="D15" s="11" t="s">
        <v>78</v>
      </c>
      <c r="E15" s="66" t="s">
        <v>79</v>
      </c>
      <c r="F15" s="83"/>
    </row>
    <row r="17" spans="4:7" x14ac:dyDescent="0.25">
      <c r="D17" s="40" t="s">
        <v>73</v>
      </c>
      <c r="E17" s="18" t="s">
        <v>69</v>
      </c>
      <c r="F17" s="15" t="s">
        <v>72</v>
      </c>
      <c r="G17" s="40" t="s">
        <v>87</v>
      </c>
    </row>
    <row r="18" spans="4:7" x14ac:dyDescent="0.25">
      <c r="D18" s="70" t="s">
        <v>94</v>
      </c>
      <c r="E18" s="72"/>
      <c r="F18" s="73"/>
      <c r="G18" s="71"/>
    </row>
    <row r="19" spans="4:7" x14ac:dyDescent="0.25">
      <c r="D19" s="11" t="s">
        <v>66</v>
      </c>
      <c r="E19" s="66" t="s">
        <v>67</v>
      </c>
      <c r="F19" s="44">
        <v>12</v>
      </c>
    </row>
    <row r="20" spans="4:7" x14ac:dyDescent="0.25">
      <c r="D20" s="11" t="s">
        <v>68</v>
      </c>
      <c r="E20" s="66" t="s">
        <v>70</v>
      </c>
      <c r="F20" s="38">
        <v>1</v>
      </c>
      <c r="G20" s="11" t="s">
        <v>46</v>
      </c>
    </row>
    <row r="21" spans="4:7" x14ac:dyDescent="0.25">
      <c r="D21" s="11" t="s">
        <v>86</v>
      </c>
      <c r="E21" s="66" t="s">
        <v>81</v>
      </c>
      <c r="F21" s="77">
        <f>'Market Return'!I13</f>
        <v>0.10033333333333334</v>
      </c>
    </row>
    <row r="22" spans="4:7" x14ac:dyDescent="0.25">
      <c r="D22" s="11" t="s">
        <v>97</v>
      </c>
      <c r="E22" s="66" t="s">
        <v>81</v>
      </c>
      <c r="F22" s="46">
        <v>0.12</v>
      </c>
    </row>
    <row r="23" spans="4:7" x14ac:dyDescent="0.25">
      <c r="F23" s="66"/>
    </row>
    <row r="24" spans="4:7" x14ac:dyDescent="0.25">
      <c r="D24" s="70" t="s">
        <v>92</v>
      </c>
      <c r="F24" s="66"/>
    </row>
    <row r="25" spans="4:7" x14ac:dyDescent="0.25">
      <c r="D25" s="41" t="s">
        <v>16</v>
      </c>
      <c r="E25" s="66" t="s">
        <v>70</v>
      </c>
      <c r="F25" s="83"/>
      <c r="G25" s="11" t="s">
        <v>88</v>
      </c>
    </row>
    <row r="26" spans="4:7" x14ac:dyDescent="0.25">
      <c r="D26" s="11" t="s">
        <v>89</v>
      </c>
      <c r="E26" s="66" t="s">
        <v>90</v>
      </c>
      <c r="F26" s="83"/>
      <c r="G26" s="11" t="s">
        <v>88</v>
      </c>
    </row>
    <row r="27" spans="4:7" x14ac:dyDescent="0.25">
      <c r="D27" s="11" t="s">
        <v>91</v>
      </c>
      <c r="E27" s="66" t="s">
        <v>81</v>
      </c>
      <c r="F27" s="83"/>
      <c r="G27" s="11" t="s">
        <v>88</v>
      </c>
    </row>
    <row r="29" spans="4:7" x14ac:dyDescent="0.25">
      <c r="D29" s="40" t="s">
        <v>93</v>
      </c>
      <c r="E29" s="84"/>
      <c r="F29" s="43"/>
      <c r="G29" s="43"/>
    </row>
    <row r="30" spans="4:7" x14ac:dyDescent="0.25">
      <c r="D30" s="11" t="s">
        <v>71</v>
      </c>
      <c r="E30" s="85">
        <v>1</v>
      </c>
      <c r="F30" s="11" t="s">
        <v>99</v>
      </c>
    </row>
    <row r="31" spans="4:7" x14ac:dyDescent="0.25">
      <c r="D31" s="11" t="s">
        <v>74</v>
      </c>
      <c r="E31" s="86">
        <v>12</v>
      </c>
      <c r="F31" s="11" t="s">
        <v>96</v>
      </c>
    </row>
  </sheetData>
  <hyperlinks>
    <hyperlink ref="D2" location="TOC" display="Table of Contents" xr:uid="{6E47A364-255D-4F0C-A4CA-767F8A96DF2D}"/>
  </hyperlinks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632EE-8E31-4F75-9241-FD94EBFE2F23}">
  <sheetPr codeName="Sheet3">
    <tabColor theme="7" tint="-0.249977111117893"/>
  </sheetPr>
  <dimension ref="D2:AS1014"/>
  <sheetViews>
    <sheetView showGridLines="0" tabSelected="1" workbookViewId="0"/>
  </sheetViews>
  <sheetFormatPr defaultColWidth="9.140625" defaultRowHeight="15" outlineLevelCol="1" x14ac:dyDescent="0.25"/>
  <cols>
    <col min="1" max="3" width="1.7109375" style="11" customWidth="1"/>
    <col min="4" max="4" width="8.28515625" style="11" customWidth="1"/>
    <col min="5" max="5" width="12.28515625" style="11" bestFit="1" customWidth="1"/>
    <col min="6" max="6" width="13.28515625" style="11" bestFit="1" customWidth="1"/>
    <col min="7" max="7" width="8.42578125" style="11" customWidth="1"/>
    <col min="8" max="9" width="11.28515625" style="11" customWidth="1"/>
    <col min="10" max="10" width="37" style="11" bestFit="1" customWidth="1"/>
    <col min="11" max="11" width="3.7109375" style="12" customWidth="1"/>
    <col min="12" max="12" width="14.42578125" style="11" customWidth="1" outlineLevel="1"/>
    <col min="13" max="13" width="10.85546875" style="11" customWidth="1" outlineLevel="1"/>
    <col min="14" max="17" width="9.140625" style="11" customWidth="1" outlineLevel="1"/>
    <col min="18" max="18" width="10.85546875" style="11" customWidth="1" outlineLevel="1"/>
    <col min="19" max="19" width="13.85546875" style="11" customWidth="1" outlineLevel="1"/>
    <col min="20" max="20" width="5.5703125" style="11" customWidth="1" outlineLevel="1"/>
    <col min="21" max="21" width="11.28515625" style="11" customWidth="1" outlineLevel="1"/>
    <col min="22" max="22" width="10.85546875" style="11" customWidth="1" outlineLevel="1"/>
    <col min="23" max="27" width="9.140625" style="11" customWidth="1" outlineLevel="1"/>
    <col min="28" max="28" width="6.28515625" style="11" customWidth="1" outlineLevel="1"/>
    <col min="29" max="45" width="9.140625" style="11" customWidth="1" outlineLevel="1"/>
    <col min="46" max="48" width="9.140625" style="11" customWidth="1"/>
    <col min="49" max="16384" width="9.140625" style="11"/>
  </cols>
  <sheetData>
    <row r="2" spans="4:45" x14ac:dyDescent="0.25">
      <c r="D2" s="54" t="s">
        <v>64</v>
      </c>
    </row>
    <row r="4" spans="4:45" ht="18.75" x14ac:dyDescent="0.3">
      <c r="D4" s="59" t="str">
        <f ca="1">MID(CELL("filename",A1),FIND("]",CELL("filename",A1))+1,255)</f>
        <v>Fund Allocation</v>
      </c>
      <c r="L4" s="87" t="s">
        <v>107</v>
      </c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</row>
    <row r="5" spans="4:45" x14ac:dyDescent="0.25">
      <c r="D5" s="56" t="s">
        <v>65</v>
      </c>
      <c r="L5" s="20" t="s">
        <v>97</v>
      </c>
      <c r="M5" s="19"/>
      <c r="N5" s="77">
        <f>Assumptions!F22</f>
        <v>0.12</v>
      </c>
    </row>
    <row r="7" spans="4:45" x14ac:dyDescent="0.25">
      <c r="H7" s="13" t="s">
        <v>49</v>
      </c>
      <c r="I7" s="13"/>
      <c r="L7" s="14" t="s">
        <v>45</v>
      </c>
      <c r="M7" s="15" t="s">
        <v>4</v>
      </c>
      <c r="N7" s="15" t="s">
        <v>5</v>
      </c>
      <c r="O7" s="15" t="s">
        <v>6</v>
      </c>
      <c r="P7" s="15" t="s">
        <v>7</v>
      </c>
      <c r="Q7" s="15" t="s">
        <v>8</v>
      </c>
      <c r="R7" s="16" t="s">
        <v>39</v>
      </c>
    </row>
    <row r="8" spans="4:45" x14ac:dyDescent="0.25">
      <c r="D8" s="14" t="s">
        <v>45</v>
      </c>
      <c r="E8" s="17" t="s">
        <v>37</v>
      </c>
      <c r="F8" s="17" t="s">
        <v>50</v>
      </c>
      <c r="G8" s="17" t="s">
        <v>61</v>
      </c>
      <c r="H8" s="18" t="s">
        <v>47</v>
      </c>
      <c r="I8" s="18" t="s">
        <v>48</v>
      </c>
      <c r="J8" s="17" t="s">
        <v>51</v>
      </c>
      <c r="L8" s="11" t="s">
        <v>44</v>
      </c>
      <c r="M8" s="19">
        <v>0.19757709001362075</v>
      </c>
      <c r="N8" s="19">
        <v>0.16066775215972864</v>
      </c>
      <c r="O8" s="19">
        <v>0.23981129908113341</v>
      </c>
      <c r="P8" s="19">
        <v>0.20674836340105363</v>
      </c>
      <c r="Q8" s="19">
        <v>0.19519549534446365</v>
      </c>
      <c r="R8" s="3">
        <f>SUM(M8:Q8)</f>
        <v>1</v>
      </c>
    </row>
    <row r="9" spans="4:45" x14ac:dyDescent="0.25">
      <c r="D9" s="20" t="s">
        <v>6</v>
      </c>
      <c r="E9" s="60">
        <f>HLOOKUP(D9,$M$7:$Q$8,2,0)</f>
        <v>0.23981129908113341</v>
      </c>
      <c r="F9" s="60">
        <f>IHI!O7</f>
        <v>0.24005067952283043</v>
      </c>
      <c r="G9" s="60">
        <f>IHI!O10</f>
        <v>0.193192629782863</v>
      </c>
      <c r="H9" s="61">
        <f>IHI!O12</f>
        <v>0.90900000000000003</v>
      </c>
      <c r="I9" s="62">
        <f>IHI!O13</f>
        <v>9.0999999999999998E-2</v>
      </c>
      <c r="J9" s="21" t="s">
        <v>54</v>
      </c>
    </row>
    <row r="10" spans="4:45" x14ac:dyDescent="0.25">
      <c r="D10" s="20" t="s">
        <v>7</v>
      </c>
      <c r="E10" s="60">
        <f>HLOOKUP(D10,$M$7:$Q$8,2,0)</f>
        <v>0.20674836340105363</v>
      </c>
      <c r="F10" s="60">
        <f>'RXL'!O7</f>
        <v>0.33084497866875129</v>
      </c>
      <c r="G10" s="60">
        <f>'RXL'!O10</f>
        <v>0.40490067950920078</v>
      </c>
      <c r="H10" s="61">
        <f>'RXL'!O12</f>
        <v>0.78900000000000003</v>
      </c>
      <c r="I10" s="62">
        <f>'RXL'!O13</f>
        <v>0.21099999999999999</v>
      </c>
      <c r="J10" s="21" t="s">
        <v>55</v>
      </c>
      <c r="L10" s="20" t="s">
        <v>35</v>
      </c>
    </row>
    <row r="11" spans="4:45" x14ac:dyDescent="0.25">
      <c r="D11" s="20" t="s">
        <v>4</v>
      </c>
      <c r="E11" s="63">
        <f>HLOOKUP(D11,$M$7:$Q$8,2,0)</f>
        <v>0.19757709001362075</v>
      </c>
      <c r="F11" s="60">
        <f>'CURE'!O7</f>
        <v>0.47248097265956551</v>
      </c>
      <c r="G11" s="60">
        <f>'CURE'!O10</f>
        <v>0.68399022879739446</v>
      </c>
      <c r="H11" s="61">
        <f>'CURE'!O12</f>
        <v>0.73799999999999999</v>
      </c>
      <c r="I11" s="62">
        <f>'CURE'!O13</f>
        <v>0.26200000000000001</v>
      </c>
      <c r="J11" s="21" t="s">
        <v>52</v>
      </c>
      <c r="L11" s="22" t="s">
        <v>14</v>
      </c>
      <c r="M11" s="4">
        <f>AVERAGE(M15:M1014)</f>
        <v>1.5416145557693208</v>
      </c>
      <c r="N11" s="4">
        <f t="shared" ref="N11:S11" si="0">AVERAGE(N15:N1014)</f>
        <v>1.2131128869012628</v>
      </c>
      <c r="O11" s="4">
        <f t="shared" si="0"/>
        <v>1.2480738302647105</v>
      </c>
      <c r="P11" s="4">
        <f t="shared" si="0"/>
        <v>1.3548893515613569</v>
      </c>
      <c r="Q11" s="4">
        <f t="shared" si="0"/>
        <v>1.1816984912774733</v>
      </c>
      <c r="R11" s="4">
        <f t="shared" si="0"/>
        <v>1.3095814234684522</v>
      </c>
      <c r="S11" s="5">
        <f t="shared" si="0"/>
        <v>0.30958142346845119</v>
      </c>
      <c r="U11" s="20" t="s">
        <v>34</v>
      </c>
      <c r="AC11" s="20" t="s">
        <v>43</v>
      </c>
    </row>
    <row r="12" spans="4:45" x14ac:dyDescent="0.25">
      <c r="D12" s="20" t="s">
        <v>8</v>
      </c>
      <c r="E12" s="60">
        <f>HLOOKUP(D12,$M$7:$Q$8,2,0)</f>
        <v>0.19519549534446365</v>
      </c>
      <c r="F12" s="60">
        <f>XLV!O7</f>
        <v>0.16760477848498972</v>
      </c>
      <c r="G12" s="60">
        <f>XLV!O10</f>
        <v>0.17736775245062733</v>
      </c>
      <c r="H12" s="61">
        <f>XLV!O12</f>
        <v>0.81399999999999995</v>
      </c>
      <c r="I12" s="62">
        <f>XLV!O13</f>
        <v>0.186</v>
      </c>
      <c r="J12" s="21" t="s">
        <v>56</v>
      </c>
      <c r="L12" s="22" t="s">
        <v>38</v>
      </c>
      <c r="M12" s="4">
        <f>_xlfn.STDEV.S(M15:M1014)</f>
        <v>0.71353703072813413</v>
      </c>
      <c r="N12" s="4">
        <f t="shared" ref="N12:S12" si="1">_xlfn.STDEV.S(N15:N1014)</f>
        <v>0.23975001199979229</v>
      </c>
      <c r="O12" s="4">
        <f t="shared" si="1"/>
        <v>0.20262451827816788</v>
      </c>
      <c r="P12" s="4">
        <f t="shared" si="1"/>
        <v>0.41310873100523321</v>
      </c>
      <c r="Q12" s="4">
        <f t="shared" si="1"/>
        <v>0.17559960533838714</v>
      </c>
      <c r="R12" s="4">
        <f t="shared" si="1"/>
        <v>0.33582664147289026</v>
      </c>
      <c r="S12" s="5">
        <f t="shared" si="1"/>
        <v>0.33582664147289337</v>
      </c>
      <c r="U12" s="1" t="str">
        <f>"Fund returns for "&amp;COUNT(MonthlyReturnsAllFunds[Date])&amp;" months from "&amp;TEXT(MIN(MonthlyReturnsAllFunds[Date]),"m/d/yyyy")&amp;" to "&amp;TEXT(MAX(MonthlyReturnsAllFunds[Date]),"m/d/yyyy")</f>
        <v>Fund returns for 60 months from 2/1/2017 to 1/1/2022</v>
      </c>
    </row>
    <row r="13" spans="4:45" x14ac:dyDescent="0.25">
      <c r="D13" s="20" t="s">
        <v>5</v>
      </c>
      <c r="E13" s="60">
        <f>HLOOKUP(D13,$M$7:$Q$8,2,0)</f>
        <v>0.16066775215972864</v>
      </c>
      <c r="F13" s="60">
        <f>IHF!O7</f>
        <v>0.1990420323266896</v>
      </c>
      <c r="G13" s="60">
        <f>IHF!O10</f>
        <v>0.22798067526694768</v>
      </c>
      <c r="H13" s="61">
        <f>IHF!O12</f>
        <v>0.80800000000000005</v>
      </c>
      <c r="I13" s="62">
        <f>IHF!O13</f>
        <v>0.192</v>
      </c>
      <c r="J13" s="21" t="s">
        <v>53</v>
      </c>
      <c r="L13" s="24" t="s">
        <v>26</v>
      </c>
      <c r="M13" s="24" t="s">
        <v>4</v>
      </c>
      <c r="N13" s="24" t="s">
        <v>5</v>
      </c>
      <c r="O13" s="24" t="s">
        <v>6</v>
      </c>
      <c r="P13" s="24" t="s">
        <v>7</v>
      </c>
      <c r="Q13" s="24" t="s">
        <v>8</v>
      </c>
      <c r="R13" s="24" t="s">
        <v>40</v>
      </c>
      <c r="S13" s="24" t="s">
        <v>13</v>
      </c>
      <c r="U13" s="25" t="s">
        <v>1</v>
      </c>
      <c r="V13" s="25" t="s">
        <v>10</v>
      </c>
      <c r="W13" s="11" t="s">
        <v>4</v>
      </c>
      <c r="X13" s="11" t="s">
        <v>5</v>
      </c>
      <c r="Y13" s="11" t="s">
        <v>6</v>
      </c>
      <c r="Z13" s="11" t="s">
        <v>7</v>
      </c>
      <c r="AA13" s="11" t="s">
        <v>8</v>
      </c>
      <c r="AC13" s="26" t="s">
        <v>9</v>
      </c>
      <c r="AD13" s="26" t="s">
        <v>10</v>
      </c>
      <c r="AE13" s="27" t="s">
        <v>32</v>
      </c>
      <c r="AF13" s="28"/>
      <c r="AG13" s="28"/>
      <c r="AH13" s="28"/>
      <c r="AI13" s="28"/>
      <c r="AJ13" s="29" t="s">
        <v>11</v>
      </c>
      <c r="AK13" s="30"/>
      <c r="AL13" s="30"/>
      <c r="AM13" s="30"/>
      <c r="AN13" s="30"/>
      <c r="AO13" s="31" t="s">
        <v>33</v>
      </c>
      <c r="AP13" s="31"/>
      <c r="AQ13" s="31"/>
      <c r="AR13" s="31"/>
      <c r="AS13" s="31"/>
    </row>
    <row r="14" spans="4:45" x14ac:dyDescent="0.25">
      <c r="L14" s="32"/>
      <c r="M14" s="6">
        <f ca="1">AO26</f>
        <v>2.0065355068022739</v>
      </c>
      <c r="N14" s="6">
        <f ca="1">AP26</f>
        <v>1.398018689570464</v>
      </c>
      <c r="O14" s="6">
        <f ca="1">AQ26</f>
        <v>1.3506276695742649</v>
      </c>
      <c r="P14" s="6">
        <f ca="1">AR26</f>
        <v>1.7219280917580417</v>
      </c>
      <c r="Q14" s="6">
        <f ca="1">AS26</f>
        <v>1.2843350796963451</v>
      </c>
      <c r="R14" s="32"/>
      <c r="S14" s="32"/>
      <c r="U14" s="25">
        <v>44562</v>
      </c>
      <c r="V14" s="33">
        <v>1</v>
      </c>
      <c r="W14" s="7">
        <f>INDEX(CURE[Monthly Return],MATCH($U14,CURE[Date],0))</f>
        <v>-8.7502362821809343E-2</v>
      </c>
      <c r="X14" s="7">
        <f>INDEX(IHF[Monthly Return],MATCH($U14,IHF[Date],0))</f>
        <v>-4.1505664316222046E-2</v>
      </c>
      <c r="Y14" s="7">
        <f>INDEX(IHI[Monthly Return],MATCH($U14,IHI[Date],0))</f>
        <v>-4.0262741758910203E-2</v>
      </c>
      <c r="Z14" s="7">
        <f>INDEX(RXL[Monthly Return],MATCH($U14,RXL[Date],0))</f>
        <v>-6.8499517357262896E-2</v>
      </c>
      <c r="AA14" s="7">
        <f>INDEX(XLV[Monthly Return],MATCH($U14,XLV[Date],0))</f>
        <v>-2.5226824822978888E-2</v>
      </c>
      <c r="AC14" s="67"/>
      <c r="AD14" s="67"/>
      <c r="AE14" s="35" t="s">
        <v>4</v>
      </c>
      <c r="AF14" s="35" t="s">
        <v>5</v>
      </c>
      <c r="AG14" s="35" t="s">
        <v>6</v>
      </c>
      <c r="AH14" s="35" t="s">
        <v>7</v>
      </c>
      <c r="AI14" s="35" t="s">
        <v>8</v>
      </c>
      <c r="AJ14" s="36" t="s">
        <v>4</v>
      </c>
      <c r="AK14" s="36" t="s">
        <v>5</v>
      </c>
      <c r="AL14" s="36" t="s">
        <v>6</v>
      </c>
      <c r="AM14" s="36" t="s">
        <v>7</v>
      </c>
      <c r="AN14" s="36" t="s">
        <v>8</v>
      </c>
      <c r="AO14" s="37" t="s">
        <v>4</v>
      </c>
      <c r="AP14" s="37" t="s">
        <v>5</v>
      </c>
      <c r="AQ14" s="37" t="s">
        <v>6</v>
      </c>
      <c r="AR14" s="37" t="s">
        <v>7</v>
      </c>
      <c r="AS14" s="37" t="s">
        <v>8</v>
      </c>
    </row>
    <row r="15" spans="4:45" x14ac:dyDescent="0.25">
      <c r="L15" s="11">
        <v>1</v>
      </c>
      <c r="M15" s="4">
        <f t="dataTable" ref="M15:Q1014" dt2D="0" dtr="0" r1="Q12" ca="1"/>
        <v>2.4836094832862856</v>
      </c>
      <c r="N15" s="4">
        <v>1.5970246521503499</v>
      </c>
      <c r="O15" s="4">
        <v>1.5768530718085483</v>
      </c>
      <c r="P15" s="4">
        <v>1.9169900436763125</v>
      </c>
      <c r="Q15" s="4">
        <v>1.4455070987549505</v>
      </c>
      <c r="R15" s="4">
        <f t="shared" ref="R15:R78" si="2">SUMPRODUCT(M15:Q15,$M$8:$Q$8)</f>
        <v>1.8039329074046924</v>
      </c>
      <c r="S15" s="2">
        <f>R15-1</f>
        <v>0.80393290740469237</v>
      </c>
      <c r="U15" s="25">
        <v>44531</v>
      </c>
      <c r="V15" s="33">
        <v>2</v>
      </c>
      <c r="W15" s="7">
        <f>INDEX(CURE[Monthly Return],MATCH($U15,CURE[Date],0))</f>
        <v>0.28616997583891668</v>
      </c>
      <c r="X15" s="7">
        <f>INDEX(IHF[Monthly Return],MATCH($U15,IHF[Date],0))</f>
        <v>0.11517470272532582</v>
      </c>
      <c r="Y15" s="7">
        <f>INDEX(IHI[Monthly Return],MATCH($U15,IHI[Date],0))</f>
        <v>6.5878375640770148E-2</v>
      </c>
      <c r="Z15" s="7">
        <f>INDEX(RXL[Monthly Return],MATCH($U15,RXL[Date],0))</f>
        <v>0.16399727425471156</v>
      </c>
      <c r="AA15" s="7">
        <f>INDEX(XLV[Monthly Return],MATCH($U15,XLV[Date],0))</f>
        <v>8.6024201174000003E-2</v>
      </c>
      <c r="AC15" s="68">
        <v>1</v>
      </c>
      <c r="AD15" s="69">
        <f ca="1">RANDBETWEEN(1,MAX(MonthlyReturnsAllFunds[Scenario]))</f>
        <v>26</v>
      </c>
      <c r="AE15" s="79">
        <f>Assumptions!$F$20</f>
        <v>1</v>
      </c>
      <c r="AF15" s="79">
        <f>Assumptions!$F$20</f>
        <v>1</v>
      </c>
      <c r="AG15" s="79">
        <f>Assumptions!$F$20</f>
        <v>1</v>
      </c>
      <c r="AH15" s="79">
        <f>Assumptions!$F$20</f>
        <v>1</v>
      </c>
      <c r="AI15" s="79">
        <f>Assumptions!$F$20</f>
        <v>1</v>
      </c>
      <c r="AJ15" s="8">
        <f ca="1">INDEX(MonthlyReturnsAllFunds[[CURE]:[XLV]],MATCH($AD15,MonthlyReturnsAllFunds[Scenario],0),MATCH(AJ$14,MonthlyReturnsAllFunds[[#Headers],[CURE]:[XLV]],0))</f>
        <v>9.7572293791670539E-2</v>
      </c>
      <c r="AK15" s="8">
        <f ca="1">INDEX(MonthlyReturnsAllFunds[[CURE]:[XLV]],MATCH($AD15,MonthlyReturnsAllFunds[Scenario],0),MATCH(AK$14,MonthlyReturnsAllFunds[[#Headers],[CURE]:[XLV]],0))</f>
        <v>3.0327815901290522E-2</v>
      </c>
      <c r="AL15" s="8">
        <f ca="1">INDEX(MonthlyReturnsAllFunds[[CURE]:[XLV]],MATCH($AD15,MonthlyReturnsAllFunds[Scenario],0),MATCH(AL$14,MonthlyReturnsAllFunds[[#Headers],[CURE]:[XLV]],0))</f>
        <v>1.7086027731078701E-2</v>
      </c>
      <c r="AM15" s="8">
        <f ca="1">INDEX(MonthlyReturnsAllFunds[[CURE]:[XLV]],MATCH($AD15,MonthlyReturnsAllFunds[Scenario],0),MATCH(AM$14,MonthlyReturnsAllFunds[[#Headers],[CURE]:[XLV]],0))</f>
        <v>6.1644788563822939E-2</v>
      </c>
      <c r="AN15" s="8">
        <f ca="1">INDEX(MonthlyReturnsAllFunds[[CURE]:[XLV]],MATCH($AD15,MonthlyReturnsAllFunds[Scenario],0),MATCH(AN$14,MonthlyReturnsAllFunds[[#Headers],[CURE]:[XLV]],0))</f>
        <v>2.3821284780449536E-2</v>
      </c>
      <c r="AO15" s="9">
        <f t="shared" ref="AO15:AO26" ca="1" si="3">(1+AJ15)*AE15</f>
        <v>1.0975722937916705</v>
      </c>
      <c r="AP15" s="9">
        <f t="shared" ref="AP15:AP26" ca="1" si="4">(1+AK15)*AF15</f>
        <v>1.0303278159012905</v>
      </c>
      <c r="AQ15" s="9">
        <f t="shared" ref="AQ15:AQ26" ca="1" si="5">(1+AL15)*AG15</f>
        <v>1.0170860277310787</v>
      </c>
      <c r="AR15" s="9">
        <f t="shared" ref="AR15:AR26" ca="1" si="6">(1+AM15)*AH15</f>
        <v>1.0616447885638229</v>
      </c>
      <c r="AS15" s="9">
        <f t="shared" ref="AS15:AS26" ca="1" si="7">(1+AN15)*AI15</f>
        <v>1.0238212847804495</v>
      </c>
    </row>
    <row r="16" spans="4:45" x14ac:dyDescent="0.25">
      <c r="L16" s="11">
        <v>2</v>
      </c>
      <c r="M16" s="4">
        <v>1.6480961570645534</v>
      </c>
      <c r="N16" s="4">
        <v>1.1456591883003904</v>
      </c>
      <c r="O16" s="4">
        <v>1.1314074647320445</v>
      </c>
      <c r="P16" s="4">
        <v>1.3698427263737694</v>
      </c>
      <c r="Q16" s="4">
        <v>1.2136665216733529</v>
      </c>
      <c r="R16" s="4">
        <f t="shared" si="2"/>
        <v>1.3011358028839284</v>
      </c>
      <c r="S16" s="2">
        <f t="shared" ref="S16:S79" si="8">R16-1</f>
        <v>0.30113580288392838</v>
      </c>
      <c r="U16" s="25">
        <v>44501</v>
      </c>
      <c r="V16" s="33">
        <v>3</v>
      </c>
      <c r="W16" s="7">
        <f>INDEX(CURE[Monthly Return],MATCH($U16,CURE[Date],0))</f>
        <v>-9.1253685924184258E-2</v>
      </c>
      <c r="X16" s="7">
        <f>INDEX(IHF[Monthly Return],MATCH($U16,IHF[Date],0))</f>
        <v>-6.598732357577064E-2</v>
      </c>
      <c r="Y16" s="7">
        <f>INDEX(IHI[Monthly Return],MATCH($U16,IHI[Date],0))</f>
        <v>-5.5639477490300515E-2</v>
      </c>
      <c r="Z16" s="7">
        <f>INDEX(RXL[Monthly Return],MATCH($U16,RXL[Date],0))</f>
        <v>-7.4227105973091789E-2</v>
      </c>
      <c r="AA16" s="7">
        <f>INDEX(XLV[Monthly Return],MATCH($U16,XLV[Date],0))</f>
        <v>-3.0563125760927679E-2</v>
      </c>
      <c r="AC16" s="68">
        <v>2</v>
      </c>
      <c r="AD16" s="69">
        <f ca="1">RANDBETWEEN(1,MAX(MonthlyReturnsAllFunds[Scenario]))</f>
        <v>21</v>
      </c>
      <c r="AE16" s="10">
        <f t="shared" ref="AE16:AE26" ca="1" si="9">AO15</f>
        <v>1.0975722937916705</v>
      </c>
      <c r="AF16" s="10">
        <f t="shared" ref="AF16:AF26" ca="1" si="10">AP15</f>
        <v>1.0303278159012905</v>
      </c>
      <c r="AG16" s="10">
        <f t="shared" ref="AG16:AG26" ca="1" si="11">AQ15</f>
        <v>1.0170860277310787</v>
      </c>
      <c r="AH16" s="10">
        <f t="shared" ref="AH16:AH26" ca="1" si="12">AR15</f>
        <v>1.0616447885638229</v>
      </c>
      <c r="AI16" s="10">
        <f t="shared" ref="AI16:AI26" ca="1" si="13">AS15</f>
        <v>1.0238212847804495</v>
      </c>
      <c r="AJ16" s="8">
        <f ca="1">INDEX(MonthlyReturnsAllFunds[[CURE]:[XLV]],MATCH($AD16,MonthlyReturnsAllFunds[Scenario],0),MATCH(AJ$14,MonthlyReturnsAllFunds[[#Headers],[CURE]:[XLV]],0))</f>
        <v>9.0825460333221475E-2</v>
      </c>
      <c r="AK16" s="8">
        <f ca="1">INDEX(MonthlyReturnsAllFunds[[CURE]:[XLV]],MATCH($AD16,MonthlyReturnsAllFunds[Scenario],0),MATCH(AK$14,MonthlyReturnsAllFunds[[#Headers],[CURE]:[XLV]],0))</f>
        <v>5.2991985018128851E-2</v>
      </c>
      <c r="AL16" s="8">
        <f ca="1">INDEX(MonthlyReturnsAllFunds[[CURE]:[XLV]],MATCH($AD16,MonthlyReturnsAllFunds[Scenario],0),MATCH(AL$14,MonthlyReturnsAllFunds[[#Headers],[CURE]:[XLV]],0))</f>
        <v>4.3043028969512065E-2</v>
      </c>
      <c r="AM16" s="8">
        <f ca="1">INDEX(MonthlyReturnsAllFunds[[CURE]:[XLV]],MATCH($AD16,MonthlyReturnsAllFunds[Scenario],0),MATCH(AM$14,MonthlyReturnsAllFunds[[#Headers],[CURE]:[XLV]],0))</f>
        <v>7.4930930175256538E-2</v>
      </c>
      <c r="AN16" s="8">
        <f ca="1">INDEX(MonthlyReturnsAllFunds[[CURE]:[XLV]],MATCH($AD16,MonthlyReturnsAllFunds[Scenario],0),MATCH(AN$14,MonthlyReturnsAllFunds[[#Headers],[CURE]:[XLV]],0))</f>
        <v>3.288826437528769E-2</v>
      </c>
      <c r="AO16" s="9">
        <f t="shared" ca="1" si="3"/>
        <v>1.1972598026242889</v>
      </c>
      <c r="AP16" s="9">
        <f t="shared" ca="1" si="4"/>
        <v>1.0849269320852932</v>
      </c>
      <c r="AQ16" s="9">
        <f t="shared" ca="1" si="5"/>
        <v>1.0608644910871934</v>
      </c>
      <c r="AR16" s="9">
        <f t="shared" ca="1" si="6"/>
        <v>1.1411948200866238</v>
      </c>
      <c r="AS16" s="9">
        <f t="shared" ca="1" si="7"/>
        <v>1.0574929898673557</v>
      </c>
    </row>
    <row r="17" spans="12:45" x14ac:dyDescent="0.25">
      <c r="L17" s="11">
        <v>3</v>
      </c>
      <c r="M17" s="4">
        <v>1.1149743441112754</v>
      </c>
      <c r="N17" s="4">
        <v>1.075774146902676</v>
      </c>
      <c r="O17" s="4">
        <v>1.1090612265183983</v>
      </c>
      <c r="P17" s="4">
        <v>1.1200171871125544</v>
      </c>
      <c r="Q17" s="4">
        <v>1.0838897078869529</v>
      </c>
      <c r="R17" s="4">
        <f t="shared" si="2"/>
        <v>1.1022331227019782</v>
      </c>
      <c r="S17" s="2">
        <f t="shared" si="8"/>
        <v>0.10223312270197815</v>
      </c>
      <c r="U17" s="25">
        <v>44470</v>
      </c>
      <c r="V17" s="33">
        <v>4</v>
      </c>
      <c r="W17" s="7">
        <f>INDEX(CURE[Monthly Return],MATCH($U17,CURE[Date],0))</f>
        <v>0.15470581882104062</v>
      </c>
      <c r="X17" s="7">
        <f>INDEX(IHF[Monthly Return],MATCH($U17,IHF[Date],0))</f>
        <v>9.2388501508311682E-2</v>
      </c>
      <c r="Y17" s="7">
        <f>INDEX(IHI[Monthly Return],MATCH($U17,IHI[Date],0))</f>
        <v>4.2506988499291465E-2</v>
      </c>
      <c r="Z17" s="7">
        <f>INDEX(RXL[Monthly Return],MATCH($U17,RXL[Date],0))</f>
        <v>9.338277184953192E-2</v>
      </c>
      <c r="AA17" s="7">
        <f>INDEX(XLV[Monthly Return],MATCH($U17,XLV[Date],0))</f>
        <v>5.4921601615606663E-2</v>
      </c>
      <c r="AC17" s="68">
        <v>3</v>
      </c>
      <c r="AD17" s="69">
        <f ca="1">RANDBETWEEN(1,MAX(MonthlyReturnsAllFunds[Scenario]))</f>
        <v>33</v>
      </c>
      <c r="AE17" s="10">
        <f t="shared" ca="1" si="9"/>
        <v>1.1972598026242889</v>
      </c>
      <c r="AF17" s="10">
        <f t="shared" ca="1" si="10"/>
        <v>1.0849269320852932</v>
      </c>
      <c r="AG17" s="10">
        <f t="shared" ca="1" si="11"/>
        <v>1.0608644910871934</v>
      </c>
      <c r="AH17" s="10">
        <f t="shared" ca="1" si="12"/>
        <v>1.1411948200866238</v>
      </c>
      <c r="AI17" s="10">
        <f t="shared" ca="1" si="13"/>
        <v>1.0574929898673557</v>
      </c>
      <c r="AJ17" s="8">
        <f ca="1">INDEX(MonthlyReturnsAllFunds[[CURE]:[XLV]],MATCH($AD17,MonthlyReturnsAllFunds[Scenario],0),MATCH(AJ$14,MonthlyReturnsAllFunds[[#Headers],[CURE]:[XLV]],0))</f>
        <v>-7.6618461415879802E-2</v>
      </c>
      <c r="AK17" s="8">
        <f ca="1">INDEX(MonthlyReturnsAllFunds[[CURE]:[XLV]],MATCH($AD17,MonthlyReturnsAllFunds[Scenario],0),MATCH(AK$14,MonthlyReturnsAllFunds[[#Headers],[CURE]:[XLV]],0))</f>
        <v>6.1752007625550664E-3</v>
      </c>
      <c r="AL17" s="8">
        <f ca="1">INDEX(MonthlyReturnsAllFunds[[CURE]:[XLV]],MATCH($AD17,MonthlyReturnsAllFunds[Scenario],0),MATCH(AL$14,MonthlyReturnsAllFunds[[#Headers],[CURE]:[XLV]],0))</f>
        <v>-1.8504853113856967E-2</v>
      </c>
      <c r="AM17" s="8">
        <f ca="1">INDEX(MonthlyReturnsAllFunds[[CURE]:[XLV]],MATCH($AD17,MonthlyReturnsAllFunds[Scenario],0),MATCH(AM$14,MonthlyReturnsAllFunds[[#Headers],[CURE]:[XLV]],0))</f>
        <v>-5.7206912083862305E-2</v>
      </c>
      <c r="AN17" s="8">
        <f ca="1">INDEX(MonthlyReturnsAllFunds[[CURE]:[XLV]],MATCH($AD17,MonthlyReturnsAllFunds[Scenario],0),MATCH(AN$14,MonthlyReturnsAllFunds[[#Headers],[CURE]:[XLV]],0))</f>
        <v>-2.2181645004090367E-2</v>
      </c>
      <c r="AO17" s="9">
        <f t="shared" ca="1" si="3"/>
        <v>1.105527598632136</v>
      </c>
      <c r="AP17" s="9">
        <f t="shared" ca="1" si="4"/>
        <v>1.0916265737036228</v>
      </c>
      <c r="AQ17" s="9">
        <f t="shared" ca="1" si="5"/>
        <v>1.0412333495059183</v>
      </c>
      <c r="AR17" s="9">
        <f t="shared" ca="1" si="6"/>
        <v>1.0759105883433693</v>
      </c>
      <c r="AS17" s="9">
        <f t="shared" ca="1" si="7"/>
        <v>1.034036055771804</v>
      </c>
    </row>
    <row r="18" spans="12:45" x14ac:dyDescent="0.25">
      <c r="L18" s="11">
        <v>4</v>
      </c>
      <c r="M18" s="4">
        <v>1.6581082539781986</v>
      </c>
      <c r="N18" s="4">
        <v>1.5058812023939521</v>
      </c>
      <c r="O18" s="4">
        <v>1.3085828048394061</v>
      </c>
      <c r="P18" s="4">
        <v>1.4861632429742164</v>
      </c>
      <c r="Q18" s="4">
        <v>1.2508254228854587</v>
      </c>
      <c r="R18" s="4">
        <f t="shared" si="2"/>
        <v>1.4347810001818719</v>
      </c>
      <c r="S18" s="2">
        <f t="shared" si="8"/>
        <v>0.43478100018187193</v>
      </c>
      <c r="U18" s="25">
        <v>44440</v>
      </c>
      <c r="V18" s="33">
        <v>5</v>
      </c>
      <c r="W18" s="7">
        <f>INDEX(CURE[Monthly Return],MATCH($U18,CURE[Date],0))</f>
        <v>-0.16227380506676647</v>
      </c>
      <c r="X18" s="7">
        <f>INDEX(IHF[Monthly Return],MATCH($U18,IHF[Date],0))</f>
        <v>-4.7764235238540897E-2</v>
      </c>
      <c r="Y18" s="7">
        <f>INDEX(IHI[Monthly Return],MATCH($U18,IHI[Date],0))</f>
        <v>-4.2696086892104357E-2</v>
      </c>
      <c r="Z18" s="7">
        <f>INDEX(RXL[Monthly Return],MATCH($U18,RXL[Date],0))</f>
        <v>-0.10822229902069425</v>
      </c>
      <c r="AA18" s="7">
        <f>INDEX(XLV[Monthly Return],MATCH($U18,XLV[Date],0))</f>
        <v>-5.8501230075533095E-2</v>
      </c>
      <c r="AC18" s="68">
        <v>4</v>
      </c>
      <c r="AD18" s="69">
        <f ca="1">RANDBETWEEN(1,MAX(MonthlyReturnsAllFunds[Scenario]))</f>
        <v>9</v>
      </c>
      <c r="AE18" s="10">
        <f t="shared" ca="1" si="9"/>
        <v>1.105527598632136</v>
      </c>
      <c r="AF18" s="10">
        <f t="shared" ca="1" si="10"/>
        <v>1.0916265737036228</v>
      </c>
      <c r="AG18" s="10">
        <f t="shared" ca="1" si="11"/>
        <v>1.0412333495059183</v>
      </c>
      <c r="AH18" s="10">
        <f t="shared" ca="1" si="12"/>
        <v>1.0759105883433693</v>
      </c>
      <c r="AI18" s="10">
        <f t="shared" ca="1" si="13"/>
        <v>1.034036055771804</v>
      </c>
      <c r="AJ18" s="8">
        <f ca="1">INDEX(MonthlyReturnsAllFunds[[CURE]:[XLV]],MATCH($AD18,MonthlyReturnsAllFunds[Scenario],0),MATCH(AJ$14,MonthlyReturnsAllFunds[[#Headers],[CURE]:[XLV]],0))</f>
        <v>5.5567381376267599E-2</v>
      </c>
      <c r="AK18" s="8">
        <f ca="1">INDEX(MonthlyReturnsAllFunds[[CURE]:[XLV]],MATCH($AD18,MonthlyReturnsAllFunds[Scenario],0),MATCH(AK$14,MonthlyReturnsAllFunds[[#Headers],[CURE]:[XLV]],0))</f>
        <v>3.2687791094162533E-2</v>
      </c>
      <c r="AL18" s="8">
        <f ca="1">INDEX(MonthlyReturnsAllFunds[[CURE]:[XLV]],MATCH($AD18,MonthlyReturnsAllFunds[Scenario],0),MATCH(AL$14,MonthlyReturnsAllFunds[[#Headers],[CURE]:[XLV]],0))</f>
        <v>-2.3448598939848408E-2</v>
      </c>
      <c r="AM18" s="8">
        <f ca="1">INDEX(MonthlyReturnsAllFunds[[CURE]:[XLV]],MATCH($AD18,MonthlyReturnsAllFunds[Scenario],0),MATCH(AM$14,MonthlyReturnsAllFunds[[#Headers],[CURE]:[XLV]],0))</f>
        <v>2.51297918694664E-2</v>
      </c>
      <c r="AN18" s="8">
        <f ca="1">INDEX(MonthlyReturnsAllFunds[[CURE]:[XLV]],MATCH($AD18,MonthlyReturnsAllFunds[Scenario],0),MATCH(AN$14,MonthlyReturnsAllFunds[[#Headers],[CURE]:[XLV]],0))</f>
        <v>1.8709209572153718E-2</v>
      </c>
      <c r="AO18" s="9">
        <f t="shared" ca="1" si="3"/>
        <v>1.1669588723273172</v>
      </c>
      <c r="AP18" s="9">
        <f t="shared" ca="1" si="4"/>
        <v>1.1273094350976833</v>
      </c>
      <c r="AQ18" s="9">
        <f t="shared" ca="1" si="5"/>
        <v>1.016817886290559</v>
      </c>
      <c r="AR18" s="9">
        <f t="shared" ca="1" si="6"/>
        <v>1.1029479974985932</v>
      </c>
      <c r="AS18" s="9">
        <f t="shared" ca="1" si="7"/>
        <v>1.053382053044402</v>
      </c>
    </row>
    <row r="19" spans="12:45" x14ac:dyDescent="0.25">
      <c r="L19" s="11">
        <v>5</v>
      </c>
      <c r="M19" s="4">
        <v>1.5372555519743494</v>
      </c>
      <c r="N19" s="4">
        <v>1.0395042533989483</v>
      </c>
      <c r="O19" s="4">
        <v>1.1824545865628731</v>
      </c>
      <c r="P19" s="4">
        <v>1.2854771647967622</v>
      </c>
      <c r="Q19" s="4">
        <v>1.1885629531606248</v>
      </c>
      <c r="R19" s="4">
        <f t="shared" si="2"/>
        <v>1.2520796952299713</v>
      </c>
      <c r="S19" s="2">
        <f t="shared" si="8"/>
        <v>0.25207969522997131</v>
      </c>
      <c r="U19" s="25">
        <v>44409</v>
      </c>
      <c r="V19" s="33">
        <v>6</v>
      </c>
      <c r="W19" s="7">
        <f>INDEX(CURE[Monthly Return],MATCH($U19,CURE[Date],0))</f>
        <v>6.7865177523590114E-2</v>
      </c>
      <c r="X19" s="7">
        <f>INDEX(IHF[Monthly Return],MATCH($U19,IHF[Date],0))</f>
        <v>-7.4367974982503249E-5</v>
      </c>
      <c r="Y19" s="7">
        <f>INDEX(IHI[Monthly Return],MATCH($U19,IHI[Date],0))</f>
        <v>3.0159079823139923E-2</v>
      </c>
      <c r="Z19" s="7">
        <f>INDEX(RXL[Monthly Return],MATCH($U19,RXL[Date],0))</f>
        <v>4.8106129953679355E-2</v>
      </c>
      <c r="AA19" s="7">
        <f>INDEX(XLV[Monthly Return],MATCH($U19,XLV[Date],0))</f>
        <v>2.3154871213177941E-2</v>
      </c>
      <c r="AC19" s="68">
        <v>5</v>
      </c>
      <c r="AD19" s="69">
        <f ca="1">RANDBETWEEN(1,MAX(MonthlyReturnsAllFunds[Scenario]))</f>
        <v>21</v>
      </c>
      <c r="AE19" s="10">
        <f t="shared" ca="1" si="9"/>
        <v>1.1669588723273172</v>
      </c>
      <c r="AF19" s="10">
        <f t="shared" ca="1" si="10"/>
        <v>1.1273094350976833</v>
      </c>
      <c r="AG19" s="10">
        <f t="shared" ca="1" si="11"/>
        <v>1.016817886290559</v>
      </c>
      <c r="AH19" s="10">
        <f t="shared" ca="1" si="12"/>
        <v>1.1029479974985932</v>
      </c>
      <c r="AI19" s="10">
        <f t="shared" ca="1" si="13"/>
        <v>1.053382053044402</v>
      </c>
      <c r="AJ19" s="8">
        <f ca="1">INDEX(MonthlyReturnsAllFunds[[CURE]:[XLV]],MATCH($AD19,MonthlyReturnsAllFunds[Scenario],0),MATCH(AJ$14,MonthlyReturnsAllFunds[[#Headers],[CURE]:[XLV]],0))</f>
        <v>9.0825460333221475E-2</v>
      </c>
      <c r="AK19" s="8">
        <f ca="1">INDEX(MonthlyReturnsAllFunds[[CURE]:[XLV]],MATCH($AD19,MonthlyReturnsAllFunds[Scenario],0),MATCH(AK$14,MonthlyReturnsAllFunds[[#Headers],[CURE]:[XLV]],0))</f>
        <v>5.2991985018128851E-2</v>
      </c>
      <c r="AL19" s="8">
        <f ca="1">INDEX(MonthlyReturnsAllFunds[[CURE]:[XLV]],MATCH($AD19,MonthlyReturnsAllFunds[Scenario],0),MATCH(AL$14,MonthlyReturnsAllFunds[[#Headers],[CURE]:[XLV]],0))</f>
        <v>4.3043028969512065E-2</v>
      </c>
      <c r="AM19" s="8">
        <f ca="1">INDEX(MonthlyReturnsAllFunds[[CURE]:[XLV]],MATCH($AD19,MonthlyReturnsAllFunds[Scenario],0),MATCH(AM$14,MonthlyReturnsAllFunds[[#Headers],[CURE]:[XLV]],0))</f>
        <v>7.4930930175256538E-2</v>
      </c>
      <c r="AN19" s="8">
        <f ca="1">INDEX(MonthlyReturnsAllFunds[[CURE]:[XLV]],MATCH($AD19,MonthlyReturnsAllFunds[Scenario],0),MATCH(AN$14,MonthlyReturnsAllFunds[[#Headers],[CURE]:[XLV]],0))</f>
        <v>3.288826437528769E-2</v>
      </c>
      <c r="AO19" s="9">
        <f t="shared" ca="1" si="3"/>
        <v>1.2729484490963827</v>
      </c>
      <c r="AP19" s="9">
        <f t="shared" ca="1" si="4"/>
        <v>1.187047799793175</v>
      </c>
      <c r="AQ19" s="9">
        <f t="shared" ca="1" si="5"/>
        <v>1.0605848080268816</v>
      </c>
      <c r="AR19" s="9">
        <f t="shared" ca="1" si="6"/>
        <v>1.1855929168860992</v>
      </c>
      <c r="AS19" s="9">
        <f t="shared" ca="1" si="7"/>
        <v>1.0880259604931097</v>
      </c>
    </row>
    <row r="20" spans="12:45" x14ac:dyDescent="0.25">
      <c r="L20" s="11">
        <v>6</v>
      </c>
      <c r="M20" s="4">
        <v>1.4813604988131359</v>
      </c>
      <c r="N20" s="4">
        <v>1.3170094621803283</v>
      </c>
      <c r="O20" s="4">
        <v>1.1927967123885899</v>
      </c>
      <c r="P20" s="4">
        <v>1.3655502657361169</v>
      </c>
      <c r="Q20" s="4">
        <v>1.2026870402178449</v>
      </c>
      <c r="R20" s="4">
        <f t="shared" si="2"/>
        <v>1.3074143507583496</v>
      </c>
      <c r="S20" s="2">
        <f t="shared" si="8"/>
        <v>0.30741435075834955</v>
      </c>
      <c r="U20" s="25">
        <v>44378</v>
      </c>
      <c r="V20" s="33">
        <v>7</v>
      </c>
      <c r="W20" s="7">
        <f>INDEX(CURE[Monthly Return],MATCH($U20,CURE[Date],0))</f>
        <v>0.14819837439116168</v>
      </c>
      <c r="X20" s="7">
        <f>INDEX(IHF[Monthly Return],MATCH($U20,IHF[Date],0))</f>
        <v>8.8055687295809371E-3</v>
      </c>
      <c r="Y20" s="7">
        <f>INDEX(IHI[Monthly Return],MATCH($U20,IHI[Date],0))</f>
        <v>5.889546837459303E-2</v>
      </c>
      <c r="Z20" s="7">
        <f>INDEX(RXL[Monthly Return],MATCH($U20,RXL[Date],0))</f>
        <v>9.0352381586092712E-2</v>
      </c>
      <c r="AA20" s="7">
        <f>INDEX(XLV[Monthly Return],MATCH($U20,XLV[Date],0))</f>
        <v>5.3320464777547816E-2</v>
      </c>
      <c r="AC20" s="68">
        <v>6</v>
      </c>
      <c r="AD20" s="69">
        <f ca="1">RANDBETWEEN(1,MAX(MonthlyReturnsAllFunds[Scenario]))</f>
        <v>14</v>
      </c>
      <c r="AE20" s="10">
        <f t="shared" ca="1" si="9"/>
        <v>1.2729484490963827</v>
      </c>
      <c r="AF20" s="10">
        <f t="shared" ca="1" si="10"/>
        <v>1.187047799793175</v>
      </c>
      <c r="AG20" s="10">
        <f t="shared" ca="1" si="11"/>
        <v>1.0605848080268816</v>
      </c>
      <c r="AH20" s="10">
        <f t="shared" ca="1" si="12"/>
        <v>1.1855929168860992</v>
      </c>
      <c r="AI20" s="10">
        <f t="shared" ca="1" si="13"/>
        <v>1.0880259604931097</v>
      </c>
      <c r="AJ20" s="8">
        <f ca="1">INDEX(MonthlyReturnsAllFunds[[CURE]:[XLV]],MATCH($AD20,MonthlyReturnsAllFunds[Scenario],0),MATCH(AJ$14,MonthlyReturnsAllFunds[[#Headers],[CURE]:[XLV]],0))</f>
        <v>0.10963869312695462</v>
      </c>
      <c r="AK20" s="8">
        <f ca="1">INDEX(MonthlyReturnsAllFunds[[CURE]:[XLV]],MATCH($AD20,MonthlyReturnsAllFunds[Scenario],0),MATCH(AK$14,MonthlyReturnsAllFunds[[#Headers],[CURE]:[XLV]],0))</f>
        <v>4.1263638586454876E-2</v>
      </c>
      <c r="AL20" s="8">
        <f ca="1">INDEX(MonthlyReturnsAllFunds[[CURE]:[XLV]],MATCH($AD20,MonthlyReturnsAllFunds[Scenario],0),MATCH(AL$14,MonthlyReturnsAllFunds[[#Headers],[CURE]:[XLV]],0))</f>
        <v>4.4985547159723582E-2</v>
      </c>
      <c r="AM20" s="8">
        <f ca="1">INDEX(MonthlyReturnsAllFunds[[CURE]:[XLV]],MATCH($AD20,MonthlyReturnsAllFunds[Scenario],0),MATCH(AM$14,MonthlyReturnsAllFunds[[#Headers],[CURE]:[XLV]],0))</f>
        <v>7.4531909235824978E-2</v>
      </c>
      <c r="AN20" s="8">
        <f ca="1">INDEX(MonthlyReturnsAllFunds[[CURE]:[XLV]],MATCH($AD20,MonthlyReturnsAllFunds[Scenario],0),MATCH(AN$14,MonthlyReturnsAllFunds[[#Headers],[CURE]:[XLV]],0))</f>
        <v>3.3716149209049417E-2</v>
      </c>
      <c r="AO20" s="9">
        <f t="shared" ca="1" si="3"/>
        <v>1.4125128534732938</v>
      </c>
      <c r="AP20" s="9">
        <f t="shared" ca="1" si="4"/>
        <v>1.2360297111886871</v>
      </c>
      <c r="AQ20" s="9">
        <f t="shared" ca="1" si="5"/>
        <v>1.1082957959252613</v>
      </c>
      <c r="AR20" s="9">
        <f t="shared" ca="1" si="6"/>
        <v>1.273957420558091</v>
      </c>
      <c r="AS20" s="9">
        <f t="shared" ca="1" si="7"/>
        <v>1.1247100061204147</v>
      </c>
    </row>
    <row r="21" spans="12:45" x14ac:dyDescent="0.25">
      <c r="L21" s="11">
        <v>7</v>
      </c>
      <c r="M21" s="4">
        <v>2.0854619554956302</v>
      </c>
      <c r="N21" s="4">
        <v>1.4231302739720184</v>
      </c>
      <c r="O21" s="4">
        <v>1.4086065804538979</v>
      </c>
      <c r="P21" s="4">
        <v>1.6491455051146215</v>
      </c>
      <c r="Q21" s="4">
        <v>1.3488024322120735</v>
      </c>
      <c r="R21" s="4">
        <f t="shared" si="2"/>
        <v>1.5827287136734718</v>
      </c>
      <c r="S21" s="2">
        <f t="shared" si="8"/>
        <v>0.58272871367347179</v>
      </c>
      <c r="U21" s="25">
        <v>44348</v>
      </c>
      <c r="V21" s="33">
        <v>8</v>
      </c>
      <c r="W21" s="7">
        <f>INDEX(CURE[Monthly Return],MATCH($U21,CURE[Date],0))</f>
        <v>6.496274908209454E-2</v>
      </c>
      <c r="X21" s="7">
        <f>INDEX(IHF[Monthly Return],MATCH($U21,IHF[Date],0))</f>
        <v>-1.8129537520410133E-2</v>
      </c>
      <c r="Y21" s="7">
        <f>INDEX(IHI[Monthly Return],MATCH($U21,IHI[Date],0))</f>
        <v>4.3167068164200462E-2</v>
      </c>
      <c r="Z21" s="7">
        <f>INDEX(RXL[Monthly Return],MATCH($U21,RXL[Date],0))</f>
        <v>5.3322104216006139E-2</v>
      </c>
      <c r="AA21" s="7">
        <f>INDEX(XLV[Monthly Return],MATCH($U21,XLV[Date],0))</f>
        <v>1.9012809938994124E-2</v>
      </c>
      <c r="AC21" s="68">
        <v>7</v>
      </c>
      <c r="AD21" s="69">
        <f ca="1">RANDBETWEEN(1,MAX(MonthlyReturnsAllFunds[Scenario]))</f>
        <v>8</v>
      </c>
      <c r="AE21" s="10">
        <f t="shared" ca="1" si="9"/>
        <v>1.4125128534732938</v>
      </c>
      <c r="AF21" s="10">
        <f t="shared" ca="1" si="10"/>
        <v>1.2360297111886871</v>
      </c>
      <c r="AG21" s="10">
        <f t="shared" ca="1" si="11"/>
        <v>1.1082957959252613</v>
      </c>
      <c r="AH21" s="10">
        <f t="shared" ca="1" si="12"/>
        <v>1.273957420558091</v>
      </c>
      <c r="AI21" s="10">
        <f t="shared" ca="1" si="13"/>
        <v>1.1247100061204147</v>
      </c>
      <c r="AJ21" s="8">
        <f ca="1">INDEX(MonthlyReturnsAllFunds[[CURE]:[XLV]],MATCH($AD21,MonthlyReturnsAllFunds[Scenario],0),MATCH(AJ$14,MonthlyReturnsAllFunds[[#Headers],[CURE]:[XLV]],0))</f>
        <v>6.496274908209454E-2</v>
      </c>
      <c r="AK21" s="8">
        <f ca="1">INDEX(MonthlyReturnsAllFunds[[CURE]:[XLV]],MATCH($AD21,MonthlyReturnsAllFunds[Scenario],0),MATCH(AK$14,MonthlyReturnsAllFunds[[#Headers],[CURE]:[XLV]],0))</f>
        <v>-1.8129537520410133E-2</v>
      </c>
      <c r="AL21" s="8">
        <f ca="1">INDEX(MonthlyReturnsAllFunds[[CURE]:[XLV]],MATCH($AD21,MonthlyReturnsAllFunds[Scenario],0),MATCH(AL$14,MonthlyReturnsAllFunds[[#Headers],[CURE]:[XLV]],0))</f>
        <v>4.3167068164200462E-2</v>
      </c>
      <c r="AM21" s="8">
        <f ca="1">INDEX(MonthlyReturnsAllFunds[[CURE]:[XLV]],MATCH($AD21,MonthlyReturnsAllFunds[Scenario],0),MATCH(AM$14,MonthlyReturnsAllFunds[[#Headers],[CURE]:[XLV]],0))</f>
        <v>5.3322104216006139E-2</v>
      </c>
      <c r="AN21" s="8">
        <f ca="1">INDEX(MonthlyReturnsAllFunds[[CURE]:[XLV]],MATCH($AD21,MonthlyReturnsAllFunds[Scenario],0),MATCH(AN$14,MonthlyReturnsAllFunds[[#Headers],[CURE]:[XLV]],0))</f>
        <v>1.9012809938994124E-2</v>
      </c>
      <c r="AO21" s="9">
        <f t="shared" ca="1" si="3"/>
        <v>1.5042735715487128</v>
      </c>
      <c r="AP21" s="9">
        <f t="shared" ca="1" si="4"/>
        <v>1.21362106416335</v>
      </c>
      <c r="AQ21" s="9">
        <f t="shared" ca="1" si="5"/>
        <v>1.1561376760940638</v>
      </c>
      <c r="AR21" s="9">
        <f t="shared" ca="1" si="6"/>
        <v>1.3418875109038439</v>
      </c>
      <c r="AS21" s="9">
        <f t="shared" ca="1" si="7"/>
        <v>1.1460939037032671</v>
      </c>
    </row>
    <row r="22" spans="12:45" x14ac:dyDescent="0.25">
      <c r="L22" s="11">
        <v>8</v>
      </c>
      <c r="M22" s="4">
        <v>1.2431210832650375</v>
      </c>
      <c r="N22" s="4">
        <v>1.3178841876539227</v>
      </c>
      <c r="O22" s="4">
        <v>1.1421656371688642</v>
      </c>
      <c r="P22" s="4">
        <v>1.2985142828415761</v>
      </c>
      <c r="Q22" s="4">
        <v>1.1940292804809252</v>
      </c>
      <c r="R22" s="4">
        <f t="shared" si="2"/>
        <v>1.2327928011082441</v>
      </c>
      <c r="S22" s="2">
        <f t="shared" si="8"/>
        <v>0.23279280110824407</v>
      </c>
      <c r="U22" s="25">
        <v>44317</v>
      </c>
      <c r="V22" s="33">
        <v>9</v>
      </c>
      <c r="W22" s="7">
        <f>INDEX(CURE[Monthly Return],MATCH($U22,CURE[Date],0))</f>
        <v>5.5567381376267599E-2</v>
      </c>
      <c r="X22" s="7">
        <f>INDEX(IHF[Monthly Return],MATCH($U22,IHF[Date],0))</f>
        <v>3.2687791094162533E-2</v>
      </c>
      <c r="Y22" s="7">
        <f>INDEX(IHI[Monthly Return],MATCH($U22,IHI[Date],0))</f>
        <v>-2.3448598939848408E-2</v>
      </c>
      <c r="Z22" s="7">
        <f>INDEX(RXL[Monthly Return],MATCH($U22,RXL[Date],0))</f>
        <v>2.51297918694664E-2</v>
      </c>
      <c r="AA22" s="7">
        <f>INDEX(XLV[Monthly Return],MATCH($U22,XLV[Date],0))</f>
        <v>1.8709209572153718E-2</v>
      </c>
      <c r="AC22" s="68">
        <v>8</v>
      </c>
      <c r="AD22" s="69">
        <f ca="1">RANDBETWEEN(1,MAX(MonthlyReturnsAllFunds[Scenario]))</f>
        <v>22</v>
      </c>
      <c r="AE22" s="10">
        <f t="shared" ca="1" si="9"/>
        <v>1.5042735715487128</v>
      </c>
      <c r="AF22" s="10">
        <f t="shared" ca="1" si="10"/>
        <v>1.21362106416335</v>
      </c>
      <c r="AG22" s="10">
        <f t="shared" ca="1" si="11"/>
        <v>1.1561376760940638</v>
      </c>
      <c r="AH22" s="10">
        <f t="shared" ca="1" si="12"/>
        <v>1.3418875109038439</v>
      </c>
      <c r="AI22" s="10">
        <f t="shared" ca="1" si="13"/>
        <v>1.1460939037032671</v>
      </c>
      <c r="AJ22" s="8">
        <f ca="1">INDEX(MonthlyReturnsAllFunds[[CURE]:[XLV]],MATCH($AD22,MonthlyReturnsAllFunds[Scenario],0),MATCH(AJ$14,MonthlyReturnsAllFunds[[#Headers],[CURE]:[XLV]],0))</f>
        <v>0.38152731967601716</v>
      </c>
      <c r="AK22" s="8">
        <f ca="1">INDEX(MonthlyReturnsAllFunds[[CURE]:[XLV]],MATCH($AD22,MonthlyReturnsAllFunds[Scenario],0),MATCH(AK$14,MonthlyReturnsAllFunds[[#Headers],[CURE]:[XLV]],0))</f>
        <v>0.14218167300366358</v>
      </c>
      <c r="AL22" s="8">
        <f ca="1">INDEX(MonthlyReturnsAllFunds[[CURE]:[XLV]],MATCH($AD22,MonthlyReturnsAllFunds[Scenario],0),MATCH(AL$14,MonthlyReturnsAllFunds[[#Headers],[CURE]:[XLV]],0))</f>
        <v>0.14247202441505591</v>
      </c>
      <c r="AM22" s="8">
        <f ca="1">INDEX(MonthlyReturnsAllFunds[[CURE]:[XLV]],MATCH($AD22,MonthlyReturnsAllFunds[Scenario],0),MATCH(AM$14,MonthlyReturnsAllFunds[[#Headers],[CURE]:[XLV]],0))</f>
        <v>0.26654036240175816</v>
      </c>
      <c r="AN22" s="8">
        <f ca="1">INDEX(MonthlyReturnsAllFunds[[CURE]:[XLV]],MATCH($AD22,MonthlyReturnsAllFunds[Scenario],0),MATCH(AN$14,MonthlyReturnsAllFunds[[#Headers],[CURE]:[XLV]],0))</f>
        <v>0.13133974888667965</v>
      </c>
      <c r="AO22" s="9">
        <f t="shared" ca="1" si="3"/>
        <v>2.0781950353611625</v>
      </c>
      <c r="AP22" s="9">
        <f t="shared" ca="1" si="4"/>
        <v>1.3861757374585817</v>
      </c>
      <c r="AQ22" s="9">
        <f t="shared" ca="1" si="5"/>
        <v>1.3208549513097032</v>
      </c>
      <c r="AR22" s="9">
        <f t="shared" ca="1" si="6"/>
        <v>1.6995546943625477</v>
      </c>
      <c r="AS22" s="9">
        <f t="shared" ca="1" si="7"/>
        <v>1.2966215892162087</v>
      </c>
    </row>
    <row r="23" spans="12:45" x14ac:dyDescent="0.25">
      <c r="L23" s="11">
        <v>9</v>
      </c>
      <c r="M23" s="4">
        <v>2.3650119602640358</v>
      </c>
      <c r="N23" s="4">
        <v>1.4344298842099976</v>
      </c>
      <c r="O23" s="4">
        <v>1.48268480307828</v>
      </c>
      <c r="P23" s="4">
        <v>1.873844869677264</v>
      </c>
      <c r="Q23" s="4">
        <v>1.3865571935095036</v>
      </c>
      <c r="R23" s="4">
        <f t="shared" si="2"/>
        <v>1.7113674531209457</v>
      </c>
      <c r="S23" s="2">
        <f t="shared" si="8"/>
        <v>0.71136745312094574</v>
      </c>
      <c r="U23" s="25">
        <v>44287</v>
      </c>
      <c r="V23" s="33">
        <v>10</v>
      </c>
      <c r="W23" s="7">
        <f>INDEX(CURE[Monthly Return],MATCH($U23,CURE[Date],0))</f>
        <v>0.1138509289994396</v>
      </c>
      <c r="X23" s="7">
        <f>INDEX(IHF[Monthly Return],MATCH($U23,IHF[Date],0))</f>
        <v>4.5532353849836893E-2</v>
      </c>
      <c r="Y23" s="7">
        <f>INDEX(IHI[Monthly Return],MATCH($U23,IHI[Date],0))</f>
        <v>7.2873550241012053E-2</v>
      </c>
      <c r="Z23" s="7">
        <f>INDEX(RXL[Monthly Return],MATCH($U23,RXL[Date],0))</f>
        <v>8.3293265760365331E-2</v>
      </c>
      <c r="AA23" s="7">
        <f>INDEX(XLV[Monthly Return],MATCH($U23,XLV[Date],0))</f>
        <v>4.2926065979919104E-2</v>
      </c>
      <c r="AC23" s="68">
        <v>9</v>
      </c>
      <c r="AD23" s="69">
        <f ca="1">RANDBETWEEN(1,MAX(MonthlyReturnsAllFunds[Scenario]))</f>
        <v>21</v>
      </c>
      <c r="AE23" s="10">
        <f t="shared" ca="1" si="9"/>
        <v>2.0781950353611625</v>
      </c>
      <c r="AF23" s="10">
        <f t="shared" ca="1" si="10"/>
        <v>1.3861757374585817</v>
      </c>
      <c r="AG23" s="10">
        <f t="shared" ca="1" si="11"/>
        <v>1.3208549513097032</v>
      </c>
      <c r="AH23" s="10">
        <f t="shared" ca="1" si="12"/>
        <v>1.6995546943625477</v>
      </c>
      <c r="AI23" s="10">
        <f t="shared" ca="1" si="13"/>
        <v>1.2966215892162087</v>
      </c>
      <c r="AJ23" s="8">
        <f ca="1">INDEX(MonthlyReturnsAllFunds[[CURE]:[XLV]],MATCH($AD23,MonthlyReturnsAllFunds[Scenario],0),MATCH(AJ$14,MonthlyReturnsAllFunds[[#Headers],[CURE]:[XLV]],0))</f>
        <v>9.0825460333221475E-2</v>
      </c>
      <c r="AK23" s="8">
        <f ca="1">INDEX(MonthlyReturnsAllFunds[[CURE]:[XLV]],MATCH($AD23,MonthlyReturnsAllFunds[Scenario],0),MATCH(AK$14,MonthlyReturnsAllFunds[[#Headers],[CURE]:[XLV]],0))</f>
        <v>5.2991985018128851E-2</v>
      </c>
      <c r="AL23" s="8">
        <f ca="1">INDEX(MonthlyReturnsAllFunds[[CURE]:[XLV]],MATCH($AD23,MonthlyReturnsAllFunds[Scenario],0),MATCH(AL$14,MonthlyReturnsAllFunds[[#Headers],[CURE]:[XLV]],0))</f>
        <v>4.3043028969512065E-2</v>
      </c>
      <c r="AM23" s="8">
        <f ca="1">INDEX(MonthlyReturnsAllFunds[[CURE]:[XLV]],MATCH($AD23,MonthlyReturnsAllFunds[Scenario],0),MATCH(AM$14,MonthlyReturnsAllFunds[[#Headers],[CURE]:[XLV]],0))</f>
        <v>7.4930930175256538E-2</v>
      </c>
      <c r="AN23" s="8">
        <f ca="1">INDEX(MonthlyReturnsAllFunds[[CURE]:[XLV]],MATCH($AD23,MonthlyReturnsAllFunds[Scenario],0),MATCH(AN$14,MonthlyReturnsAllFunds[[#Headers],[CURE]:[XLV]],0))</f>
        <v>3.288826437528769E-2</v>
      </c>
      <c r="AO23" s="9">
        <f t="shared" ca="1" si="3"/>
        <v>2.2669480561100555</v>
      </c>
      <c r="AP23" s="9">
        <f t="shared" ca="1" si="4"/>
        <v>1.4596319413704806</v>
      </c>
      <c r="AQ23" s="9">
        <f t="shared" ca="1" si="5"/>
        <v>1.3777085492434502</v>
      </c>
      <c r="AR23" s="9">
        <f t="shared" ca="1" si="6"/>
        <v>1.8269039084948573</v>
      </c>
      <c r="AS23" s="9">
        <f t="shared" ca="1" si="7"/>
        <v>1.3392652228370572</v>
      </c>
    </row>
    <row r="24" spans="12:45" x14ac:dyDescent="0.25">
      <c r="L24" s="11">
        <v>10</v>
      </c>
      <c r="M24" s="4">
        <v>1.1900785605650297</v>
      </c>
      <c r="N24" s="4">
        <v>1.2632346860431398</v>
      </c>
      <c r="O24" s="4">
        <v>1.1444256761799538</v>
      </c>
      <c r="P24" s="4">
        <v>1.1797118303008842</v>
      </c>
      <c r="Q24" s="4">
        <v>1.0827593890925051</v>
      </c>
      <c r="R24" s="4">
        <f t="shared" si="2"/>
        <v>1.1677927899396578</v>
      </c>
      <c r="S24" s="2">
        <f t="shared" si="8"/>
        <v>0.16779278993965785</v>
      </c>
      <c r="U24" s="25">
        <v>44256</v>
      </c>
      <c r="V24" s="33">
        <v>11</v>
      </c>
      <c r="W24" s="7">
        <f>INDEX(CURE[Monthly Return],MATCH($U24,CURE[Date],0))</f>
        <v>0.12105826981369683</v>
      </c>
      <c r="X24" s="7">
        <f>INDEX(IHF[Monthly Return],MATCH($U24,IHF[Date],0))</f>
        <v>7.273110798322957E-2</v>
      </c>
      <c r="Y24" s="7">
        <f>INDEX(IHI[Monthly Return],MATCH($U24,IHI[Date],0))</f>
        <v>2.9441255380973086E-3</v>
      </c>
      <c r="Z24" s="7">
        <f>INDEX(RXL[Monthly Return],MATCH($U24,RXL[Date],0))</f>
        <v>4.6450923001739364E-2</v>
      </c>
      <c r="AA24" s="7">
        <f>INDEX(XLV[Monthly Return],MATCH($U24,XLV[Date],0))</f>
        <v>3.6675429165694107E-2</v>
      </c>
      <c r="AC24" s="68">
        <v>10</v>
      </c>
      <c r="AD24" s="69">
        <f ca="1">RANDBETWEEN(1,MAX(MonthlyReturnsAllFunds[Scenario]))</f>
        <v>17</v>
      </c>
      <c r="AE24" s="10">
        <f t="shared" ca="1" si="9"/>
        <v>2.2669480561100555</v>
      </c>
      <c r="AF24" s="10">
        <f t="shared" ca="1" si="10"/>
        <v>1.4596319413704806</v>
      </c>
      <c r="AG24" s="10">
        <f t="shared" ca="1" si="11"/>
        <v>1.3777085492434502</v>
      </c>
      <c r="AH24" s="10">
        <f t="shared" ca="1" si="12"/>
        <v>1.8269039084948573</v>
      </c>
      <c r="AI24" s="10">
        <f t="shared" ca="1" si="13"/>
        <v>1.3392652228370572</v>
      </c>
      <c r="AJ24" s="8">
        <f ca="1">INDEX(MonthlyReturnsAllFunds[[CURE]:[XLV]],MATCH($AD24,MonthlyReturnsAllFunds[Scenario],0),MATCH(AJ$14,MonthlyReturnsAllFunds[[#Headers],[CURE]:[XLV]],0))</f>
        <v>-7.5118273666843316E-2</v>
      </c>
      <c r="AK24" s="8">
        <f ca="1">INDEX(MonthlyReturnsAllFunds[[CURE]:[XLV]],MATCH($AD24,MonthlyReturnsAllFunds[Scenario],0),MATCH(AK$14,MonthlyReturnsAllFunds[[#Headers],[CURE]:[XLV]],0))</f>
        <v>-2.0909122983080564E-2</v>
      </c>
      <c r="AL24" s="8">
        <f ca="1">INDEX(MonthlyReturnsAllFunds[[CURE]:[XLV]],MATCH($AD24,MonthlyReturnsAllFunds[Scenario],0),MATCH(AL$14,MonthlyReturnsAllFunds[[#Headers],[CURE]:[XLV]],0))</f>
        <v>-1.4051289985381521E-2</v>
      </c>
      <c r="AM24" s="8">
        <f ca="1">INDEX(MonthlyReturnsAllFunds[[CURE]:[XLV]],MATCH($AD24,MonthlyReturnsAllFunds[Scenario],0),MATCH(AM$14,MonthlyReturnsAllFunds[[#Headers],[CURE]:[XLV]],0))</f>
        <v>-3.5987548624335619E-2</v>
      </c>
      <c r="AN24" s="8">
        <f ca="1">INDEX(MonthlyReturnsAllFunds[[CURE]:[XLV]],MATCH($AD24,MonthlyReturnsAllFunds[Scenario],0),MATCH(AN$14,MonthlyReturnsAllFunds[[#Headers],[CURE]:[XLV]],0))</f>
        <v>-2.5679431412368725E-2</v>
      </c>
      <c r="AO24" s="9">
        <f t="shared" ca="1" si="3"/>
        <v>2.096658831642662</v>
      </c>
      <c r="AP24" s="9">
        <f t="shared" ca="1" si="4"/>
        <v>1.4291123175983325</v>
      </c>
      <c r="AQ24" s="9">
        <f t="shared" ca="1" si="5"/>
        <v>1.3583499669026913</v>
      </c>
      <c r="AR24" s="9">
        <f t="shared" ca="1" si="6"/>
        <v>1.7611581152559099</v>
      </c>
      <c r="AS24" s="9">
        <f t="shared" ca="1" si="7"/>
        <v>1.3048736534042422</v>
      </c>
    </row>
    <row r="25" spans="12:45" x14ac:dyDescent="0.25">
      <c r="L25" s="11">
        <v>11</v>
      </c>
      <c r="M25" s="4">
        <v>1.2571195611617374</v>
      </c>
      <c r="N25" s="4">
        <v>1.1004374656577598</v>
      </c>
      <c r="O25" s="4">
        <v>1.0470656826257836</v>
      </c>
      <c r="P25" s="4">
        <v>1.1087523026495731</v>
      </c>
      <c r="Q25" s="4">
        <v>1.1114534184985334</v>
      </c>
      <c r="R25" s="4">
        <f t="shared" si="2"/>
        <v>1.1224644448329473</v>
      </c>
      <c r="S25" s="2">
        <f t="shared" si="8"/>
        <v>0.12246444483294727</v>
      </c>
      <c r="U25" s="25">
        <v>44228</v>
      </c>
      <c r="V25" s="33">
        <v>12</v>
      </c>
      <c r="W25" s="7">
        <f>INDEX(CURE[Monthly Return],MATCH($U25,CURE[Date],0))</f>
        <v>-6.5705423673117158E-2</v>
      </c>
      <c r="X25" s="7">
        <f>INDEX(IHF[Monthly Return],MATCH($U25,IHF[Date],0))</f>
        <v>-2.1757301819441466E-2</v>
      </c>
      <c r="Y25" s="7">
        <f>INDEX(IHI[Monthly Return],MATCH($U25,IHI[Date],0))</f>
        <v>-1.2115558795191883E-2</v>
      </c>
      <c r="Z25" s="7">
        <f>INDEX(RXL[Monthly Return],MATCH($U25,RXL[Date],0))</f>
        <v>-3.908727353517405E-2</v>
      </c>
      <c r="AA25" s="7">
        <f>INDEX(XLV[Monthly Return],MATCH($U25,XLV[Date],0))</f>
        <v>-2.1038376709307416E-2</v>
      </c>
      <c r="AC25" s="68">
        <v>11</v>
      </c>
      <c r="AD25" s="69">
        <f ca="1">RANDBETWEEN(1,MAX(MonthlyReturnsAllFunds[Scenario]))</f>
        <v>12</v>
      </c>
      <c r="AE25" s="10">
        <f t="shared" ca="1" si="9"/>
        <v>2.096658831642662</v>
      </c>
      <c r="AF25" s="10">
        <f t="shared" ca="1" si="10"/>
        <v>1.4291123175983325</v>
      </c>
      <c r="AG25" s="10">
        <f t="shared" ca="1" si="11"/>
        <v>1.3583499669026913</v>
      </c>
      <c r="AH25" s="10">
        <f t="shared" ca="1" si="12"/>
        <v>1.7611581152559099</v>
      </c>
      <c r="AI25" s="10">
        <f t="shared" ca="1" si="13"/>
        <v>1.3048736534042422</v>
      </c>
      <c r="AJ25" s="8">
        <f ca="1">INDEX(MonthlyReturnsAllFunds[[CURE]:[XLV]],MATCH($AD25,MonthlyReturnsAllFunds[Scenario],0),MATCH(AJ$14,MonthlyReturnsAllFunds[[#Headers],[CURE]:[XLV]],0))</f>
        <v>-6.5705423673117158E-2</v>
      </c>
      <c r="AK25" s="8">
        <f ca="1">INDEX(MonthlyReturnsAllFunds[[CURE]:[XLV]],MATCH($AD25,MonthlyReturnsAllFunds[Scenario],0),MATCH(AK$14,MonthlyReturnsAllFunds[[#Headers],[CURE]:[XLV]],0))</f>
        <v>-2.1757301819441466E-2</v>
      </c>
      <c r="AL25" s="8">
        <f ca="1">INDEX(MonthlyReturnsAllFunds[[CURE]:[XLV]],MATCH($AD25,MonthlyReturnsAllFunds[Scenario],0),MATCH(AL$14,MonthlyReturnsAllFunds[[#Headers],[CURE]:[XLV]],0))</f>
        <v>-1.2115558795191883E-2</v>
      </c>
      <c r="AM25" s="8">
        <f ca="1">INDEX(MonthlyReturnsAllFunds[[CURE]:[XLV]],MATCH($AD25,MonthlyReturnsAllFunds[Scenario],0),MATCH(AM$14,MonthlyReturnsAllFunds[[#Headers],[CURE]:[XLV]],0))</f>
        <v>-3.908727353517405E-2</v>
      </c>
      <c r="AN25" s="8">
        <f ca="1">INDEX(MonthlyReturnsAllFunds[[CURE]:[XLV]],MATCH($AD25,MonthlyReturnsAllFunds[Scenario],0),MATCH(AN$14,MonthlyReturnsAllFunds[[#Headers],[CURE]:[XLV]],0))</f>
        <v>-2.1038376709307416E-2</v>
      </c>
      <c r="AO25" s="9">
        <f t="shared" ca="1" si="3"/>
        <v>1.9588969748115981</v>
      </c>
      <c r="AP25" s="9">
        <f t="shared" ca="1" si="4"/>
        <v>1.398018689570464</v>
      </c>
      <c r="AQ25" s="9">
        <f t="shared" ca="1" si="5"/>
        <v>1.3418927980142348</v>
      </c>
      <c r="AR25" s="9">
        <f t="shared" ca="1" si="6"/>
        <v>1.6923192462662107</v>
      </c>
      <c r="AS25" s="9">
        <f t="shared" ca="1" si="7"/>
        <v>1.2774212299258736</v>
      </c>
    </row>
    <row r="26" spans="12:45" x14ac:dyDescent="0.25">
      <c r="L26" s="11">
        <v>12</v>
      </c>
      <c r="M26" s="4">
        <v>2.2537878091684624</v>
      </c>
      <c r="N26" s="4">
        <v>1.257490792612785</v>
      </c>
      <c r="O26" s="4">
        <v>1.5088827894188672</v>
      </c>
      <c r="P26" s="4">
        <v>1.6071738755215537</v>
      </c>
      <c r="Q26" s="4">
        <v>1.3711156975749561</v>
      </c>
      <c r="R26" s="4">
        <f t="shared" si="2"/>
        <v>1.6090983739737561</v>
      </c>
      <c r="S26" s="2">
        <f t="shared" si="8"/>
        <v>0.6090983739737561</v>
      </c>
      <c r="U26" s="25">
        <v>44197</v>
      </c>
      <c r="V26" s="33">
        <v>13</v>
      </c>
      <c r="W26" s="7">
        <f>INDEX(CURE[Monthly Return],MATCH($U26,CURE[Date],0))</f>
        <v>3.5529810570884779E-2</v>
      </c>
      <c r="X26" s="7">
        <f>INDEX(IHF[Monthly Return],MATCH($U26,IHF[Date],0))</f>
        <v>2.3552451899362836E-2</v>
      </c>
      <c r="Y26" s="7">
        <f>INDEX(IHI[Monthly Return],MATCH($U26,IHI[Date],0))</f>
        <v>2.0038354086992394E-2</v>
      </c>
      <c r="Z26" s="7">
        <f>INDEX(RXL[Monthly Return],MATCH($U26,RXL[Date],0))</f>
        <v>4.8348291916013197E-2</v>
      </c>
      <c r="AA26" s="7">
        <f>INDEX(XLV[Monthly Return],MATCH($U26,XLV[Date],0))</f>
        <v>1.8197301215728379E-2</v>
      </c>
      <c r="AC26" s="68">
        <v>12</v>
      </c>
      <c r="AD26" s="69">
        <f ca="1">RANDBETWEEN(1,MAX(MonthlyReturnsAllFunds[Scenario]))</f>
        <v>53</v>
      </c>
      <c r="AE26" s="10">
        <f t="shared" ca="1" si="9"/>
        <v>1.9588969748115981</v>
      </c>
      <c r="AF26" s="10">
        <f t="shared" ca="1" si="10"/>
        <v>1.398018689570464</v>
      </c>
      <c r="AG26" s="10">
        <f t="shared" ca="1" si="11"/>
        <v>1.3418927980142348</v>
      </c>
      <c r="AH26" s="10">
        <f t="shared" ca="1" si="12"/>
        <v>1.6923192462662107</v>
      </c>
      <c r="AI26" s="10">
        <f t="shared" ca="1" si="13"/>
        <v>1.2774212299258736</v>
      </c>
      <c r="AJ26" s="8">
        <f ca="1">INDEX(MonthlyReturnsAllFunds[[CURE]:[XLV]],MATCH($AD26,MonthlyReturnsAllFunds[Scenario],0),MATCH(AJ$14,MonthlyReturnsAllFunds[[#Headers],[CURE]:[XLV]],0))</f>
        <v>2.431905945194357E-2</v>
      </c>
      <c r="AK26" s="8">
        <f ca="1">INDEX(MonthlyReturnsAllFunds[[CURE]:[XLV]],MATCH($AD26,MonthlyReturnsAllFunds[Scenario],0),MATCH(AK$14,MonthlyReturnsAllFunds[[#Headers],[CURE]:[XLV]],0))</f>
        <v>0</v>
      </c>
      <c r="AL26" s="8">
        <f ca="1">INDEX(MonthlyReturnsAllFunds[[CURE]:[XLV]],MATCH($AD26,MonthlyReturnsAllFunds[Scenario],0),MATCH(AL$14,MonthlyReturnsAllFunds[[#Headers],[CURE]:[XLV]],0))</f>
        <v>6.5093661527628743E-3</v>
      </c>
      <c r="AM26" s="8">
        <f ca="1">INDEX(MonthlyReturnsAllFunds[[CURE]:[XLV]],MATCH($AD26,MonthlyReturnsAllFunds[Scenario],0),MATCH(AM$14,MonthlyReturnsAllFunds[[#Headers],[CURE]:[XLV]],0))</f>
        <v>1.7496016521207469E-2</v>
      </c>
      <c r="AN26" s="8">
        <f ca="1">INDEX(MonthlyReturnsAllFunds[[CURE]:[XLV]],MATCH($AD26,MonthlyReturnsAllFunds[Scenario],0),MATCH(AN$14,MonthlyReturnsAllFunds[[#Headers],[CURE]:[XLV]],0))</f>
        <v>5.4123491989190864E-3</v>
      </c>
      <c r="AO26" s="9">
        <f t="shared" ca="1" si="3"/>
        <v>2.0065355068022739</v>
      </c>
      <c r="AP26" s="9">
        <f t="shared" ca="1" si="4"/>
        <v>1.398018689570464</v>
      </c>
      <c r="AQ26" s="9">
        <f t="shared" ca="1" si="5"/>
        <v>1.3506276695742649</v>
      </c>
      <c r="AR26" s="9">
        <f t="shared" ca="1" si="6"/>
        <v>1.7219280917580417</v>
      </c>
      <c r="AS26" s="9">
        <f t="shared" ca="1" si="7"/>
        <v>1.2843350796963451</v>
      </c>
    </row>
    <row r="27" spans="12:45" x14ac:dyDescent="0.25">
      <c r="L27" s="11">
        <v>13</v>
      </c>
      <c r="M27" s="4">
        <v>1.1920207232315252</v>
      </c>
      <c r="N27" s="4">
        <v>1.167969051298694</v>
      </c>
      <c r="O27" s="4">
        <v>1.0957315796470981</v>
      </c>
      <c r="P27" s="4">
        <v>1.1871162197137239</v>
      </c>
      <c r="Q27" s="4">
        <v>1.1403538398298736</v>
      </c>
      <c r="R27" s="4">
        <f t="shared" si="2"/>
        <v>1.1539660295819127</v>
      </c>
      <c r="S27" s="2">
        <f t="shared" si="8"/>
        <v>0.15396602958191274</v>
      </c>
      <c r="U27" s="25">
        <v>44166</v>
      </c>
      <c r="V27" s="33">
        <v>14</v>
      </c>
      <c r="W27" s="7">
        <f>INDEX(CURE[Monthly Return],MATCH($U27,CURE[Date],0))</f>
        <v>0.10963869312695462</v>
      </c>
      <c r="X27" s="7">
        <f>INDEX(IHF[Monthly Return],MATCH($U27,IHF[Date],0))</f>
        <v>4.1263638586454876E-2</v>
      </c>
      <c r="Y27" s="7">
        <f>INDEX(IHI[Monthly Return],MATCH($U27,IHI[Date],0))</f>
        <v>4.4985547159723582E-2</v>
      </c>
      <c r="Z27" s="7">
        <f>INDEX(RXL[Monthly Return],MATCH($U27,RXL[Date],0))</f>
        <v>7.4531909235824978E-2</v>
      </c>
      <c r="AA27" s="7">
        <f>INDEX(XLV[Monthly Return],MATCH($U27,XLV[Date],0))</f>
        <v>3.3716149209049417E-2</v>
      </c>
    </row>
    <row r="28" spans="12:45" x14ac:dyDescent="0.25">
      <c r="L28" s="11">
        <v>14</v>
      </c>
      <c r="M28" s="4">
        <v>2.0195373838689261</v>
      </c>
      <c r="N28" s="4">
        <v>1.1790301636505753</v>
      </c>
      <c r="O28" s="4">
        <v>1.3422409780910478</v>
      </c>
      <c r="P28" s="4">
        <v>1.6749399205330797</v>
      </c>
      <c r="Q28" s="4">
        <v>1.2980853230792433</v>
      </c>
      <c r="R28" s="4">
        <f t="shared" si="2"/>
        <v>1.5100024932398792</v>
      </c>
      <c r="S28" s="2">
        <f t="shared" si="8"/>
        <v>0.51000249323987923</v>
      </c>
      <c r="U28" s="25">
        <v>44136</v>
      </c>
      <c r="V28" s="33">
        <v>15</v>
      </c>
      <c r="W28" s="7">
        <f>INDEX(CURE[Monthly Return],MATCH($U28,CURE[Date],0))</f>
        <v>0.24346119727964299</v>
      </c>
      <c r="X28" s="7">
        <f>INDEX(IHF[Monthly Return],MATCH($U28,IHF[Date],0))</f>
        <v>0.12252263734190505</v>
      </c>
      <c r="Y28" s="7">
        <f>INDEX(IHI[Monthly Return],MATCH($U28,IHI[Date],0))</f>
        <v>5.0476582986856089E-2</v>
      </c>
      <c r="Z28" s="7">
        <f>INDEX(RXL[Monthly Return],MATCH($U28,RXL[Date],0))</f>
        <v>0.17419515347226522</v>
      </c>
      <c r="AA28" s="7">
        <f>INDEX(XLV[Monthly Return],MATCH($U28,XLV[Date],0))</f>
        <v>7.9480653823677638E-2</v>
      </c>
    </row>
    <row r="29" spans="12:45" x14ac:dyDescent="0.25">
      <c r="L29" s="11">
        <v>15</v>
      </c>
      <c r="M29" s="4">
        <v>0.99634809411639857</v>
      </c>
      <c r="N29" s="4">
        <v>0.96488554419425732</v>
      </c>
      <c r="O29" s="4">
        <v>1.1470812903225478</v>
      </c>
      <c r="P29" s="4">
        <v>1.0124170546081281</v>
      </c>
      <c r="Q29" s="4">
        <v>1.0409039969210974</v>
      </c>
      <c r="R29" s="4">
        <f t="shared" si="2"/>
        <v>1.0394599433417473</v>
      </c>
      <c r="S29" s="2">
        <f t="shared" si="8"/>
        <v>3.9459943341747294E-2</v>
      </c>
      <c r="U29" s="25">
        <v>44105</v>
      </c>
      <c r="V29" s="33">
        <v>16</v>
      </c>
      <c r="W29" s="7">
        <f>INDEX(CURE[Monthly Return],MATCH($U29,CURE[Date],0))</f>
        <v>-0.11437998743024747</v>
      </c>
      <c r="X29" s="7">
        <f>INDEX(IHF[Monthly Return],MATCH($U29,IHF[Date],0))</f>
        <v>-2.5624779161449451E-3</v>
      </c>
      <c r="Y29" s="7">
        <f>INDEX(IHI[Monthly Return],MATCH($U29,IHI[Date],0))</f>
        <v>-4.1986122650979896E-3</v>
      </c>
      <c r="Z29" s="7">
        <f>INDEX(RXL[Monthly Return],MATCH($U29,RXL[Date],0))</f>
        <v>-8.2160689272567367E-2</v>
      </c>
      <c r="AA29" s="7">
        <f>INDEX(XLV[Monthly Return],MATCH($U29,XLV[Date],0))</f>
        <v>-3.2383245055658039E-2</v>
      </c>
    </row>
    <row r="30" spans="12:45" x14ac:dyDescent="0.25">
      <c r="L30" s="11">
        <v>16</v>
      </c>
      <c r="M30" s="4">
        <v>2.2434944811748698</v>
      </c>
      <c r="N30" s="4">
        <v>1.2957282268261232</v>
      </c>
      <c r="O30" s="4">
        <v>1.2831372710523881</v>
      </c>
      <c r="P30" s="4">
        <v>1.6106040363272287</v>
      </c>
      <c r="Q30" s="4">
        <v>1.3383317485054249</v>
      </c>
      <c r="R30" s="4">
        <f t="shared" si="2"/>
        <v>1.5533817457192305</v>
      </c>
      <c r="S30" s="2">
        <f t="shared" si="8"/>
        <v>0.55338174571923049</v>
      </c>
      <c r="U30" s="25">
        <v>44075</v>
      </c>
      <c r="V30" s="33">
        <v>17</v>
      </c>
      <c r="W30" s="7">
        <f>INDEX(CURE[Monthly Return],MATCH($U30,CURE[Date],0))</f>
        <v>-7.5118273666843316E-2</v>
      </c>
      <c r="X30" s="7">
        <f>INDEX(IHF[Monthly Return],MATCH($U30,IHF[Date],0))</f>
        <v>-2.0909122983080564E-2</v>
      </c>
      <c r="Y30" s="7">
        <f>INDEX(IHI[Monthly Return],MATCH($U30,IHI[Date],0))</f>
        <v>-1.4051289985381521E-2</v>
      </c>
      <c r="Z30" s="7">
        <f>INDEX(RXL[Monthly Return],MATCH($U30,RXL[Date],0))</f>
        <v>-3.5987548624335619E-2</v>
      </c>
      <c r="AA30" s="7">
        <f>INDEX(XLV[Monthly Return],MATCH($U30,XLV[Date],0))</f>
        <v>-2.5679431412368725E-2</v>
      </c>
    </row>
    <row r="31" spans="12:45" x14ac:dyDescent="0.25">
      <c r="L31" s="11">
        <v>17</v>
      </c>
      <c r="M31" s="4">
        <v>1.0203210102619646</v>
      </c>
      <c r="N31" s="4">
        <v>0.87461025536226733</v>
      </c>
      <c r="O31" s="4">
        <v>1.1388112317154102</v>
      </c>
      <c r="P31" s="4">
        <v>1.0256313036895774</v>
      </c>
      <c r="Q31" s="4">
        <v>1.0570820226560345</v>
      </c>
      <c r="R31" s="4">
        <f t="shared" si="2"/>
        <v>1.0335987632408579</v>
      </c>
      <c r="S31" s="2">
        <f t="shared" si="8"/>
        <v>3.3598763240857865E-2</v>
      </c>
      <c r="U31" s="25">
        <v>44044</v>
      </c>
      <c r="V31" s="33">
        <v>18</v>
      </c>
      <c r="W31" s="7">
        <f>INDEX(CURE[Monthly Return],MATCH($U31,CURE[Date],0))</f>
        <v>7.7288605164907986E-2</v>
      </c>
      <c r="X31" s="7">
        <f>INDEX(IHF[Monthly Return],MATCH($U31,IHF[Date],0))</f>
        <v>8.9083149051498722E-3</v>
      </c>
      <c r="Y31" s="7">
        <f>INDEX(IHI[Monthly Return],MATCH($U31,IHI[Date],0))</f>
        <v>3.6989119032437401E-2</v>
      </c>
      <c r="Z31" s="7">
        <f>INDEX(RXL[Monthly Return],MATCH($U31,RXL[Date],0))</f>
        <v>5.2304855657938187E-2</v>
      </c>
      <c r="AA31" s="7">
        <f>INDEX(XLV[Monthly Return],MATCH($U31,XLV[Date],0))</f>
        <v>2.5869690823991043E-2</v>
      </c>
    </row>
    <row r="32" spans="12:45" x14ac:dyDescent="0.25">
      <c r="L32" s="11">
        <v>18</v>
      </c>
      <c r="M32" s="4">
        <v>2.0632783255081852</v>
      </c>
      <c r="N32" s="4">
        <v>1.3404678258007308</v>
      </c>
      <c r="O32" s="4">
        <v>1.5784074863945357</v>
      </c>
      <c r="P32" s="4">
        <v>1.7600366983258171</v>
      </c>
      <c r="Q32" s="4">
        <v>1.3465512830765218</v>
      </c>
      <c r="R32" s="4">
        <f t="shared" si="2"/>
        <v>1.6282718812590871</v>
      </c>
      <c r="S32" s="2">
        <f t="shared" si="8"/>
        <v>0.62827188125908706</v>
      </c>
      <c r="U32" s="25">
        <v>44013</v>
      </c>
      <c r="V32" s="33">
        <v>19</v>
      </c>
      <c r="W32" s="7">
        <f>INDEX(CURE[Monthly Return],MATCH($U32,CURE[Date],0))</f>
        <v>0.16489275477648357</v>
      </c>
      <c r="X32" s="7">
        <f>INDEX(IHF[Monthly Return],MATCH($U32,IHF[Date],0))</f>
        <v>5.9523928005150273E-2</v>
      </c>
      <c r="Y32" s="7">
        <f>INDEX(IHI[Monthly Return],MATCH($U32,IHI[Date],0))</f>
        <v>0.10763293212766589</v>
      </c>
      <c r="Z32" s="7">
        <f>INDEX(RXL[Monthly Return],MATCH($U32,RXL[Date],0))</f>
        <v>9.8082028082455031E-2</v>
      </c>
      <c r="AA32" s="7">
        <f>INDEX(XLV[Monthly Return],MATCH($U32,XLV[Date],0))</f>
        <v>5.9029588714810899E-2</v>
      </c>
    </row>
    <row r="33" spans="12:27" x14ac:dyDescent="0.25">
      <c r="L33" s="11">
        <v>19</v>
      </c>
      <c r="M33" s="4">
        <v>1.0913077395755633</v>
      </c>
      <c r="N33" s="4">
        <v>0.95323113976615148</v>
      </c>
      <c r="O33" s="4">
        <v>1.0605393352752077</v>
      </c>
      <c r="P33" s="4">
        <v>1.0553487564049369</v>
      </c>
      <c r="Q33" s="4">
        <v>1.0289452959729446</v>
      </c>
      <c r="R33" s="4">
        <f t="shared" si="2"/>
        <v>1.0421373426624077</v>
      </c>
      <c r="S33" s="2">
        <f t="shared" si="8"/>
        <v>4.2137342662407651E-2</v>
      </c>
      <c r="U33" s="25">
        <v>43983</v>
      </c>
      <c r="V33" s="33">
        <v>20</v>
      </c>
      <c r="W33" s="7">
        <f>INDEX(CURE[Monthly Return],MATCH($U33,CURE[Date],0))</f>
        <v>-9.16228263925144E-2</v>
      </c>
      <c r="X33" s="7">
        <f>INDEX(IHF[Monthly Return],MATCH($U33,IHF[Date],0))</f>
        <v>-3.5432336857805335E-2</v>
      </c>
      <c r="Y33" s="7">
        <f>INDEX(IHI[Monthly Return],MATCH($U33,IHI[Date],0))</f>
        <v>-1.3930824392085039E-2</v>
      </c>
      <c r="Z33" s="7">
        <f>INDEX(RXL[Monthly Return],MATCH($U33,RXL[Date],0))</f>
        <v>-4.7715427408368316E-2</v>
      </c>
      <c r="AA33" s="7">
        <f>INDEX(XLV[Monthly Return],MATCH($U33,XLV[Date],0))</f>
        <v>-2.8540766539402074E-2</v>
      </c>
    </row>
    <row r="34" spans="12:27" x14ac:dyDescent="0.25">
      <c r="L34" s="11">
        <v>20</v>
      </c>
      <c r="M34" s="4">
        <v>1.3746190181171638</v>
      </c>
      <c r="N34" s="4">
        <v>1.1562061556638921</v>
      </c>
      <c r="O34" s="4">
        <v>1.2224363115133594</v>
      </c>
      <c r="P34" s="4">
        <v>1.2237129455676052</v>
      </c>
      <c r="Q34" s="4">
        <v>1.1484064256127642</v>
      </c>
      <c r="R34" s="4">
        <f t="shared" si="2"/>
        <v>1.2276767193217299</v>
      </c>
      <c r="S34" s="2">
        <f t="shared" si="8"/>
        <v>0.22767671932172995</v>
      </c>
      <c r="U34" s="25">
        <v>43952</v>
      </c>
      <c r="V34" s="33">
        <v>21</v>
      </c>
      <c r="W34" s="7">
        <f>INDEX(CURE[Monthly Return],MATCH($U34,CURE[Date],0))</f>
        <v>9.0825460333221475E-2</v>
      </c>
      <c r="X34" s="7">
        <f>INDEX(IHF[Monthly Return],MATCH($U34,IHF[Date],0))</f>
        <v>5.2991985018128851E-2</v>
      </c>
      <c r="Y34" s="7">
        <f>INDEX(IHI[Monthly Return],MATCH($U34,IHI[Date],0))</f>
        <v>4.3043028969512065E-2</v>
      </c>
      <c r="Z34" s="7">
        <f>INDEX(RXL[Monthly Return],MATCH($U34,RXL[Date],0))</f>
        <v>7.4930930175256538E-2</v>
      </c>
      <c r="AA34" s="7">
        <f>INDEX(XLV[Monthly Return],MATCH($U34,XLV[Date],0))</f>
        <v>3.288826437528769E-2</v>
      </c>
    </row>
    <row r="35" spans="12:27" x14ac:dyDescent="0.25">
      <c r="L35" s="11">
        <v>21</v>
      </c>
      <c r="M35" s="4">
        <v>1.0182253594164674</v>
      </c>
      <c r="N35" s="4">
        <v>1.1735339956360338</v>
      </c>
      <c r="O35" s="4">
        <v>1.0833371022327962</v>
      </c>
      <c r="P35" s="4">
        <v>1.1016249239031004</v>
      </c>
      <c r="Q35" s="4">
        <v>1.0936209256429201</v>
      </c>
      <c r="R35" s="4">
        <f t="shared" si="2"/>
        <v>1.0907525788813994</v>
      </c>
      <c r="S35" s="2">
        <f t="shared" si="8"/>
        <v>9.0752578881399426E-2</v>
      </c>
      <c r="U35" s="25">
        <v>43922</v>
      </c>
      <c r="V35" s="33">
        <v>22</v>
      </c>
      <c r="W35" s="7">
        <f>INDEX(CURE[Monthly Return],MATCH($U35,CURE[Date],0))</f>
        <v>0.38152731967601716</v>
      </c>
      <c r="X35" s="7">
        <f>INDEX(IHF[Monthly Return],MATCH($U35,IHF[Date],0))</f>
        <v>0.14218167300366358</v>
      </c>
      <c r="Y35" s="7">
        <f>INDEX(IHI[Monthly Return],MATCH($U35,IHI[Date],0))</f>
        <v>0.14247202441505591</v>
      </c>
      <c r="Z35" s="7">
        <f>INDEX(RXL[Monthly Return],MATCH($U35,RXL[Date],0))</f>
        <v>0.26654036240175816</v>
      </c>
      <c r="AA35" s="7">
        <f>INDEX(XLV[Monthly Return],MATCH($U35,XLV[Date],0))</f>
        <v>0.13133974888667965</v>
      </c>
    </row>
    <row r="36" spans="12:27" x14ac:dyDescent="0.25">
      <c r="L36" s="11">
        <v>22</v>
      </c>
      <c r="M36" s="4">
        <v>2.0892890323935815</v>
      </c>
      <c r="N36" s="4">
        <v>1.3354053038561049</v>
      </c>
      <c r="O36" s="4">
        <v>1.4815239573140946</v>
      </c>
      <c r="P36" s="4">
        <v>1.6618601173932448</v>
      </c>
      <c r="Q36" s="4">
        <v>1.3056414730245205</v>
      </c>
      <c r="R36" s="4">
        <f t="shared" si="2"/>
        <v>1.5810805939755845</v>
      </c>
      <c r="S36" s="2">
        <f t="shared" si="8"/>
        <v>0.58108059397558454</v>
      </c>
      <c r="U36" s="25">
        <v>43891</v>
      </c>
      <c r="V36" s="33">
        <v>23</v>
      </c>
      <c r="W36" s="7">
        <f>INDEX(CURE[Monthly Return],MATCH($U36,CURE[Date],0))</f>
        <v>-0.26011832464835649</v>
      </c>
      <c r="X36" s="7">
        <f>INDEX(IHF[Monthly Return],MATCH($U36,IHF[Date],0))</f>
        <v>-7.0942766474320629E-2</v>
      </c>
      <c r="Y36" s="7">
        <f>INDEX(IHI[Monthly Return],MATCH($U36,IHI[Date],0))</f>
        <v>-6.6912798786991634E-2</v>
      </c>
      <c r="Z36" s="7">
        <f>INDEX(RXL[Monthly Return],MATCH($U36,RXL[Date],0))</f>
        <v>-0.13429544230890822</v>
      </c>
      <c r="AA36" s="7">
        <f>INDEX(XLV[Monthly Return],MATCH($U36,XLV[Date],0))</f>
        <v>-4.3515726460473414E-2</v>
      </c>
    </row>
    <row r="37" spans="12:27" x14ac:dyDescent="0.25">
      <c r="L37" s="11">
        <v>23</v>
      </c>
      <c r="M37" s="4">
        <v>0.9534850665979816</v>
      </c>
      <c r="N37" s="4">
        <v>0.99553461088088246</v>
      </c>
      <c r="O37" s="4">
        <v>1.1176313345665416</v>
      </c>
      <c r="P37" s="4">
        <v>1.0918446886968745</v>
      </c>
      <c r="Q37" s="4">
        <v>1.0860507807568214</v>
      </c>
      <c r="R37" s="4">
        <f t="shared" si="2"/>
        <v>1.0540870577887782</v>
      </c>
      <c r="S37" s="2">
        <f t="shared" si="8"/>
        <v>5.4087057788778203E-2</v>
      </c>
      <c r="U37" s="25">
        <v>43862</v>
      </c>
      <c r="V37" s="33">
        <v>24</v>
      </c>
      <c r="W37" s="7">
        <f>INDEX(CURE[Monthly Return],MATCH($U37,CURE[Date],0))</f>
        <v>-0.19982234298254786</v>
      </c>
      <c r="X37" s="7">
        <f>INDEX(IHF[Monthly Return],MATCH($U37,IHF[Date],0))</f>
        <v>-6.6437679659228421E-2</v>
      </c>
      <c r="Y37" s="7">
        <f>INDEX(IHI[Monthly Return],MATCH($U37,IHI[Date],0))</f>
        <v>-8.7263822927900359E-2</v>
      </c>
      <c r="Z37" s="7">
        <f>INDEX(RXL[Monthly Return],MATCH($U37,RXL[Date],0))</f>
        <v>-0.1301052722811884</v>
      </c>
      <c r="AA37" s="7">
        <f>INDEX(XLV[Monthly Return],MATCH($U37,XLV[Date],0))</f>
        <v>-6.5866436462506228E-2</v>
      </c>
    </row>
    <row r="38" spans="12:27" x14ac:dyDescent="0.25">
      <c r="L38" s="11">
        <v>24</v>
      </c>
      <c r="M38" s="4">
        <v>1.0769958538209996</v>
      </c>
      <c r="N38" s="4">
        <v>1.0463552801873361</v>
      </c>
      <c r="O38" s="4">
        <v>1.0037416067627147</v>
      </c>
      <c r="P38" s="4">
        <v>1.077679207856389</v>
      </c>
      <c r="Q38" s="4">
        <v>1.0828367216092436</v>
      </c>
      <c r="R38" s="4">
        <f t="shared" si="2"/>
        <v>1.0557870989897449</v>
      </c>
      <c r="S38" s="2">
        <f t="shared" si="8"/>
        <v>5.5787098989744877E-2</v>
      </c>
      <c r="U38" s="25">
        <v>43831</v>
      </c>
      <c r="V38" s="33">
        <v>25</v>
      </c>
      <c r="W38" s="7">
        <f>INDEX(CURE[Monthly Return],MATCH($U38,CURE[Date],0))</f>
        <v>-8.6454270205395312E-2</v>
      </c>
      <c r="X38" s="7">
        <f>INDEX(IHF[Monthly Return],MATCH($U38,IHF[Date],0))</f>
        <v>-4.0634957875437583E-2</v>
      </c>
      <c r="Y38" s="7">
        <f>INDEX(IHI[Monthly Return],MATCH($U38,IHI[Date],0))</f>
        <v>2.7297231182858983E-3</v>
      </c>
      <c r="Z38" s="7">
        <f>INDEX(RXL[Monthly Return],MATCH($U38,RXL[Date],0))</f>
        <v>-5.2689085448843986E-2</v>
      </c>
      <c r="AA38" s="7">
        <f>INDEX(XLV[Monthly Return],MATCH($U38,XLV[Date],0))</f>
        <v>-1.6311713108885018E-2</v>
      </c>
    </row>
    <row r="39" spans="12:27" x14ac:dyDescent="0.25">
      <c r="L39" s="11">
        <v>25</v>
      </c>
      <c r="M39" s="4">
        <v>2.2443696643929116</v>
      </c>
      <c r="N39" s="4">
        <v>1.4377727655908716</v>
      </c>
      <c r="O39" s="4">
        <v>1.4036197549567975</v>
      </c>
      <c r="P39" s="4">
        <v>1.6966120735259342</v>
      </c>
      <c r="Q39" s="4">
        <v>1.3858537459866065</v>
      </c>
      <c r="R39" s="4">
        <f t="shared" si="2"/>
        <v>1.6323278003724826</v>
      </c>
      <c r="S39" s="2">
        <f t="shared" si="8"/>
        <v>0.6323278003724826</v>
      </c>
      <c r="U39" s="25">
        <v>43800</v>
      </c>
      <c r="V39" s="33">
        <v>26</v>
      </c>
      <c r="W39" s="7">
        <f>INDEX(CURE[Monthly Return],MATCH($U39,CURE[Date],0))</f>
        <v>9.7572293791670539E-2</v>
      </c>
      <c r="X39" s="7">
        <f>INDEX(IHF[Monthly Return],MATCH($U39,IHF[Date],0))</f>
        <v>3.0327815901290522E-2</v>
      </c>
      <c r="Y39" s="7">
        <f>INDEX(IHI[Monthly Return],MATCH($U39,IHI[Date],0))</f>
        <v>1.7086027731078701E-2</v>
      </c>
      <c r="Z39" s="7">
        <f>INDEX(RXL[Monthly Return],MATCH($U39,RXL[Date],0))</f>
        <v>6.1644788563822939E-2</v>
      </c>
      <c r="AA39" s="7">
        <f>INDEX(XLV[Monthly Return],MATCH($U39,XLV[Date],0))</f>
        <v>2.3821284780449536E-2</v>
      </c>
    </row>
    <row r="40" spans="12:27" x14ac:dyDescent="0.25">
      <c r="L40" s="11">
        <v>26</v>
      </c>
      <c r="M40" s="4">
        <v>1.2990017263523406</v>
      </c>
      <c r="N40" s="4">
        <v>1.2581961016417655</v>
      </c>
      <c r="O40" s="4">
        <v>1.3481331951293711</v>
      </c>
      <c r="P40" s="4">
        <v>1.3081545458637767</v>
      </c>
      <c r="Q40" s="4">
        <v>1.1626434651416677</v>
      </c>
      <c r="R40" s="4">
        <f t="shared" si="2"/>
        <v>1.2795036718209705</v>
      </c>
      <c r="S40" s="2">
        <f t="shared" si="8"/>
        <v>0.27950367182097047</v>
      </c>
      <c r="U40" s="25">
        <v>43770</v>
      </c>
      <c r="V40" s="33">
        <v>27</v>
      </c>
      <c r="W40" s="7">
        <f>INDEX(CURE[Monthly Return],MATCH($U40,CURE[Date],0))</f>
        <v>0.15482405493054152</v>
      </c>
      <c r="X40" s="7">
        <f>INDEX(IHF[Monthly Return],MATCH($U40,IHF[Date],0))</f>
        <v>0.10432919560544751</v>
      </c>
      <c r="Y40" s="7">
        <f>INDEX(IHI[Monthly Return],MATCH($U40,IHI[Date],0))</f>
        <v>4.3232412422950839E-2</v>
      </c>
      <c r="Z40" s="7">
        <f>INDEX(RXL[Monthly Return],MATCH($U40,RXL[Date],0))</f>
        <v>0.11713825583790571</v>
      </c>
      <c r="AA40" s="7">
        <f>INDEX(XLV[Monthly Return],MATCH($U40,XLV[Date],0))</f>
        <v>5.0025933581399951E-2</v>
      </c>
    </row>
    <row r="41" spans="12:27" x14ac:dyDescent="0.25">
      <c r="L41" s="11">
        <v>27</v>
      </c>
      <c r="M41" s="4">
        <v>0.93349436676320507</v>
      </c>
      <c r="N41" s="4">
        <v>1.0489444299490789</v>
      </c>
      <c r="O41" s="4">
        <v>1.1333154098737002</v>
      </c>
      <c r="P41" s="4">
        <v>0.98680466175300396</v>
      </c>
      <c r="Q41" s="4">
        <v>1.0206802741230441</v>
      </c>
      <c r="R41" s="4">
        <f t="shared" si="2"/>
        <v>1.0280029254497818</v>
      </c>
      <c r="S41" s="2">
        <f t="shared" si="8"/>
        <v>2.8002925449781779E-2</v>
      </c>
      <c r="U41" s="25">
        <v>43739</v>
      </c>
      <c r="V41" s="33">
        <v>28</v>
      </c>
      <c r="W41" s="7">
        <f>INDEX(CURE[Monthly Return],MATCH($U41,CURE[Date],0))</f>
        <v>0.15343402622002889</v>
      </c>
      <c r="X41" s="7">
        <f>INDEX(IHF[Monthly Return],MATCH($U41,IHF[Date],0))</f>
        <v>9.4507288101013165E-2</v>
      </c>
      <c r="Y41" s="7">
        <f>INDEX(IHI[Monthly Return],MATCH($U41,IHI[Date],0))</f>
        <v>8.3261380563701692E-3</v>
      </c>
      <c r="Z41" s="7">
        <f>INDEX(RXL[Monthly Return],MATCH($U41,RXL[Date],0))</f>
        <v>9.2657235342502808E-2</v>
      </c>
      <c r="AA41" s="7">
        <f>INDEX(XLV[Monthly Return],MATCH($U41,XLV[Date],0))</f>
        <v>5.562653082813207E-2</v>
      </c>
    </row>
    <row r="42" spans="12:27" x14ac:dyDescent="0.25">
      <c r="L42" s="11">
        <v>28</v>
      </c>
      <c r="M42" s="4">
        <v>1.1705257646613805</v>
      </c>
      <c r="N42" s="4">
        <v>1.1026058635736142</v>
      </c>
      <c r="O42" s="4">
        <v>1.2685395596115681</v>
      </c>
      <c r="P42" s="4">
        <v>1.2574737170038401</v>
      </c>
      <c r="Q42" s="4">
        <v>1.1493646623568619</v>
      </c>
      <c r="R42" s="4">
        <f t="shared" si="2"/>
        <v>1.1969638373230853</v>
      </c>
      <c r="S42" s="2">
        <f t="shared" si="8"/>
        <v>0.19696383732308531</v>
      </c>
      <c r="U42" s="25">
        <v>43709</v>
      </c>
      <c r="V42" s="33">
        <v>29</v>
      </c>
      <c r="W42" s="7">
        <f>INDEX(CURE[Monthly Return],MATCH($U42,CURE[Date],0))</f>
        <v>-1.4222788303348666E-2</v>
      </c>
      <c r="X42" s="7">
        <f>INDEX(IHF[Monthly Return],MATCH($U42,IHF[Date],0))</f>
        <v>-3.8587437878638275E-2</v>
      </c>
      <c r="Y42" s="7">
        <f>INDEX(IHI[Monthly Return],MATCH($U42,IHI[Date],0))</f>
        <v>-8.103393477981391E-3</v>
      </c>
      <c r="Z42" s="7">
        <f>INDEX(RXL[Monthly Return],MATCH($U42,RXL[Date],0))</f>
        <v>-1.7997399951374726E-2</v>
      </c>
      <c r="AA42" s="7">
        <f>INDEX(XLV[Monthly Return],MATCH($U42,XLV[Date],0))</f>
        <v>-5.1877884594256907E-3</v>
      </c>
    </row>
    <row r="43" spans="12:27" x14ac:dyDescent="0.25">
      <c r="L43" s="11">
        <v>29</v>
      </c>
      <c r="M43" s="4">
        <v>0.81683290536306297</v>
      </c>
      <c r="N43" s="4">
        <v>0.8590805950479754</v>
      </c>
      <c r="O43" s="4">
        <v>1.0180063276234859</v>
      </c>
      <c r="P43" s="4">
        <v>0.91809916722978435</v>
      </c>
      <c r="Q43" s="4">
        <v>1.0009420471315136</v>
      </c>
      <c r="R43" s="4">
        <f t="shared" si="2"/>
        <v>0.92873831546517305</v>
      </c>
      <c r="S43" s="2">
        <f t="shared" si="8"/>
        <v>-7.1261684534826952E-2</v>
      </c>
      <c r="U43" s="25">
        <v>43678</v>
      </c>
      <c r="V43" s="33">
        <v>30</v>
      </c>
      <c r="W43" s="7">
        <f>INDEX(CURE[Monthly Return],MATCH($U43,CURE[Date],0))</f>
        <v>-3.2975993613502785E-2</v>
      </c>
      <c r="X43" s="7">
        <f>INDEX(IHF[Monthly Return],MATCH($U43,IHF[Date],0))</f>
        <v>-5.2450579122450547E-2</v>
      </c>
      <c r="Y43" s="7">
        <f>INDEX(IHI[Monthly Return],MATCH($U43,IHI[Date],0))</f>
        <v>1.1934340260046472E-2</v>
      </c>
      <c r="Z43" s="7">
        <f>INDEX(RXL[Monthly Return],MATCH($U43,RXL[Date],0))</f>
        <v>-2.1620622747851703E-2</v>
      </c>
      <c r="AA43" s="7">
        <f>INDEX(XLV[Monthly Return],MATCH($U43,XLV[Date],0))</f>
        <v>-5.9249755999986053E-3</v>
      </c>
    </row>
    <row r="44" spans="12:27" x14ac:dyDescent="0.25">
      <c r="L44" s="11">
        <v>30</v>
      </c>
      <c r="M44" s="4">
        <v>1.4497111244866048</v>
      </c>
      <c r="N44" s="4">
        <v>1.2103744369746883</v>
      </c>
      <c r="O44" s="4">
        <v>1.2769350711249927</v>
      </c>
      <c r="P44" s="4">
        <v>1.2807425791877129</v>
      </c>
      <c r="Q44" s="4">
        <v>1.1768101053693971</v>
      </c>
      <c r="R44" s="4">
        <f t="shared" si="2"/>
        <v>1.2816207672745554</v>
      </c>
      <c r="S44" s="2">
        <f t="shared" si="8"/>
        <v>0.28162076727455543</v>
      </c>
      <c r="U44" s="25">
        <v>43647</v>
      </c>
      <c r="V44" s="33">
        <v>31</v>
      </c>
      <c r="W44" s="7">
        <f>INDEX(CURE[Monthly Return],MATCH($U44,CURE[Date],0))</f>
        <v>-5.4179168606752093E-2</v>
      </c>
      <c r="X44" s="7">
        <f>INDEX(IHF[Monthly Return],MATCH($U44,IHF[Date],0))</f>
        <v>3.6426884633037782E-2</v>
      </c>
      <c r="Y44" s="7">
        <f>INDEX(IHI[Monthly Return],MATCH($U44,IHI[Date],0))</f>
        <v>2.4372455177166241E-2</v>
      </c>
      <c r="Z44" s="7">
        <f>INDEX(RXL[Monthly Return],MATCH($U44,RXL[Date],0))</f>
        <v>-2.6959973219836564E-2</v>
      </c>
      <c r="AA44" s="7">
        <f>INDEX(XLV[Monthly Return],MATCH($U44,XLV[Date],0))</f>
        <v>-1.1994043866852433E-2</v>
      </c>
    </row>
    <row r="45" spans="12:27" x14ac:dyDescent="0.25">
      <c r="L45" s="11">
        <v>31</v>
      </c>
      <c r="M45" s="4">
        <v>1.1612420013740345</v>
      </c>
      <c r="N45" s="4">
        <v>1.1601373462800344</v>
      </c>
      <c r="O45" s="4">
        <v>1.2753124125047202</v>
      </c>
      <c r="P45" s="4">
        <v>1.2324313585329714</v>
      </c>
      <c r="Q45" s="4">
        <v>1.155086823297947</v>
      </c>
      <c r="R45" s="4">
        <f t="shared" si="2"/>
        <v>1.2019367124538265</v>
      </c>
      <c r="S45" s="2">
        <f t="shared" si="8"/>
        <v>0.20193671245382649</v>
      </c>
      <c r="U45" s="25">
        <v>43617</v>
      </c>
      <c r="V45" s="33">
        <v>32</v>
      </c>
      <c r="W45" s="7">
        <f>INDEX(CURE[Monthly Return],MATCH($U45,CURE[Date],0))</f>
        <v>0.19995642381934431</v>
      </c>
      <c r="X45" s="7">
        <f>INDEX(IHF[Monthly Return],MATCH($U45,IHF[Date],0))</f>
        <v>4.144164671878503E-2</v>
      </c>
      <c r="Y45" s="7">
        <f>INDEX(IHI[Monthly Return],MATCH($U45,IHI[Date],0))</f>
        <v>9.1055518512115796E-2</v>
      </c>
      <c r="Z45" s="7">
        <f>INDEX(RXL[Monthly Return],MATCH($U45,RXL[Date],0))</f>
        <v>0.13528521387511705</v>
      </c>
      <c r="AA45" s="7">
        <f>INDEX(XLV[Monthly Return],MATCH($U45,XLV[Date],0))</f>
        <v>6.1410710346149422E-2</v>
      </c>
    </row>
    <row r="46" spans="12:27" x14ac:dyDescent="0.25">
      <c r="L46" s="11">
        <v>32</v>
      </c>
      <c r="M46" s="4">
        <v>1.5499928363535445</v>
      </c>
      <c r="N46" s="4">
        <v>1.1699670256788242</v>
      </c>
      <c r="O46" s="4">
        <v>1.1353019015150574</v>
      </c>
      <c r="P46" s="4">
        <v>1.3603850956056565</v>
      </c>
      <c r="Q46" s="4">
        <v>1.1598861914585621</v>
      </c>
      <c r="R46" s="4">
        <f t="shared" si="2"/>
        <v>1.2741392219137317</v>
      </c>
      <c r="S46" s="2">
        <f t="shared" si="8"/>
        <v>0.27413922191373175</v>
      </c>
      <c r="U46" s="25">
        <v>43586</v>
      </c>
      <c r="V46" s="33">
        <v>33</v>
      </c>
      <c r="W46" s="7">
        <f>INDEX(CURE[Monthly Return],MATCH($U46,CURE[Date],0))</f>
        <v>-7.6618461415879802E-2</v>
      </c>
      <c r="X46" s="7">
        <f>INDEX(IHF[Monthly Return],MATCH($U46,IHF[Date],0))</f>
        <v>6.1752007625550664E-3</v>
      </c>
      <c r="Y46" s="7">
        <f>INDEX(IHI[Monthly Return],MATCH($U46,IHI[Date],0))</f>
        <v>-1.8504853113856967E-2</v>
      </c>
      <c r="Z46" s="7">
        <f>INDEX(RXL[Monthly Return],MATCH($U46,RXL[Date],0))</f>
        <v>-5.7206912083862305E-2</v>
      </c>
      <c r="AA46" s="7">
        <f>INDEX(XLV[Monthly Return],MATCH($U46,XLV[Date],0))</f>
        <v>-2.2181645004090367E-2</v>
      </c>
    </row>
    <row r="47" spans="12:27" x14ac:dyDescent="0.25">
      <c r="L47" s="11">
        <v>33</v>
      </c>
      <c r="M47" s="4">
        <v>1.9155223060981141</v>
      </c>
      <c r="N47" s="4">
        <v>1.3413028343900222</v>
      </c>
      <c r="O47" s="4">
        <v>1.4869673440031759</v>
      </c>
      <c r="P47" s="4">
        <v>1.6653539416828045</v>
      </c>
      <c r="Q47" s="4">
        <v>1.2814358114692441</v>
      </c>
      <c r="R47" s="4">
        <f t="shared" si="2"/>
        <v>1.5449987048168747</v>
      </c>
      <c r="S47" s="2">
        <f t="shared" si="8"/>
        <v>0.54499870481687474</v>
      </c>
      <c r="U47" s="25">
        <v>43556</v>
      </c>
      <c r="V47" s="33">
        <v>34</v>
      </c>
      <c r="W47" s="7">
        <f>INDEX(CURE[Monthly Return],MATCH($U47,CURE[Date],0))</f>
        <v>-8.7614588861344767E-2</v>
      </c>
      <c r="X47" s="7">
        <f>INDEX(IHF[Monthly Return],MATCH($U47,IHF[Date],0))</f>
        <v>-2.5097603817177738E-2</v>
      </c>
      <c r="Y47" s="7">
        <f>INDEX(IHI[Monthly Return],MATCH($U47,IHI[Date],0))</f>
        <v>-2.9110372580345767E-2</v>
      </c>
      <c r="Z47" s="7">
        <f>INDEX(RXL[Monthly Return],MATCH($U47,RXL[Date],0))</f>
        <v>-5.914941651930361E-2</v>
      </c>
      <c r="AA47" s="7">
        <f>INDEX(XLV[Monthly Return],MATCH($U47,XLV[Date],0))</f>
        <v>-2.3516709180149697E-2</v>
      </c>
    </row>
    <row r="48" spans="12:27" x14ac:dyDescent="0.25">
      <c r="L48" s="11">
        <v>34</v>
      </c>
      <c r="M48" s="4">
        <v>0.7860692922823872</v>
      </c>
      <c r="N48" s="4">
        <v>0.88951814987441657</v>
      </c>
      <c r="O48" s="4">
        <v>1.02801630231967</v>
      </c>
      <c r="P48" s="4">
        <v>0.84969320555316963</v>
      </c>
      <c r="Q48" s="4">
        <v>0.95803787525121775</v>
      </c>
      <c r="R48" s="4">
        <f t="shared" si="2"/>
        <v>0.90743344715921848</v>
      </c>
      <c r="S48" s="2">
        <f t="shared" si="8"/>
        <v>-9.2566552840781524E-2</v>
      </c>
      <c r="U48" s="25">
        <v>43525</v>
      </c>
      <c r="V48" s="33">
        <v>35</v>
      </c>
      <c r="W48" s="7">
        <f>INDEX(CURE[Monthly Return],MATCH($U48,CURE[Date],0))</f>
        <v>1.9831044598908054E-3</v>
      </c>
      <c r="X48" s="7">
        <f>INDEX(IHF[Monthly Return],MATCH($U48,IHF[Date],0))</f>
        <v>-3.826547450555251E-2</v>
      </c>
      <c r="Y48" s="7">
        <f>INDEX(IHI[Monthly Return],MATCH($U48,IHI[Date],0))</f>
        <v>2.356297690003939E-2</v>
      </c>
      <c r="Z48" s="7">
        <f>INDEX(RXL[Monthly Return],MATCH($U48,RXL[Date],0))</f>
        <v>3.1672293217026581E-3</v>
      </c>
      <c r="AA48" s="7">
        <f>INDEX(XLV[Monthly Return],MATCH($U48,XLV[Date],0))</f>
        <v>1.0912690410314063E-3</v>
      </c>
    </row>
    <row r="49" spans="12:27" x14ac:dyDescent="0.25">
      <c r="L49" s="11">
        <v>35</v>
      </c>
      <c r="M49" s="4">
        <v>0.81673241360625859</v>
      </c>
      <c r="N49" s="4">
        <v>1.0137814903525573</v>
      </c>
      <c r="O49" s="4">
        <v>0.99222789479337792</v>
      </c>
      <c r="P49" s="4">
        <v>0.87788945545364794</v>
      </c>
      <c r="Q49" s="4">
        <v>0.9421856895307491</v>
      </c>
      <c r="R49" s="4">
        <f t="shared" si="2"/>
        <v>0.92760967780765213</v>
      </c>
      <c r="S49" s="2">
        <f t="shared" si="8"/>
        <v>-7.2390322192347867E-2</v>
      </c>
      <c r="U49" s="25">
        <v>43497</v>
      </c>
      <c r="V49" s="33">
        <v>36</v>
      </c>
      <c r="W49" s="7">
        <f>INDEX(CURE[Monthly Return],MATCH($U49,CURE[Date],0))</f>
        <v>2.5128902064299741E-2</v>
      </c>
      <c r="X49" s="7">
        <f>INDEX(IHF[Monthly Return],MATCH($U49,IHF[Date],0))</f>
        <v>-3.2692025177701645E-2</v>
      </c>
      <c r="Y49" s="7">
        <f>INDEX(IHI[Monthly Return],MATCH($U49,IHI[Date],0))</f>
        <v>5.0040609165586947E-2</v>
      </c>
      <c r="Z49" s="7">
        <f>INDEX(RXL[Monthly Return],MATCH($U49,RXL[Date],0))</f>
        <v>1.8374495719767792E-2</v>
      </c>
      <c r="AA49" s="7">
        <f>INDEX(XLV[Monthly Return],MATCH($U49,XLV[Date],0))</f>
        <v>1.080816010846597E-2</v>
      </c>
    </row>
    <row r="50" spans="12:27" x14ac:dyDescent="0.25">
      <c r="L50" s="11">
        <v>36</v>
      </c>
      <c r="M50" s="4">
        <v>2.4515420394234373</v>
      </c>
      <c r="N50" s="4">
        <v>1.2296424469764096</v>
      </c>
      <c r="O50" s="4">
        <v>1.5694434619356825</v>
      </c>
      <c r="P50" s="4">
        <v>1.8592686283144462</v>
      </c>
      <c r="Q50" s="4">
        <v>1.4029165262830974</v>
      </c>
      <c r="R50" s="4">
        <f t="shared" si="2"/>
        <v>1.7165464378541127</v>
      </c>
      <c r="S50" s="2">
        <f t="shared" si="8"/>
        <v>0.71654643785411265</v>
      </c>
      <c r="U50" s="25">
        <v>43466</v>
      </c>
      <c r="V50" s="33">
        <v>37</v>
      </c>
      <c r="W50" s="7">
        <f>INDEX(CURE[Monthly Return],MATCH($U50,CURE[Date],0))</f>
        <v>0.14073553525415772</v>
      </c>
      <c r="X50" s="7">
        <f>INDEX(IHF[Monthly Return],MATCH($U50,IHF[Date],0))</f>
        <v>0.13448545531467548</v>
      </c>
      <c r="Y50" s="7">
        <f>INDEX(IHI[Monthly Return],MATCH($U50,IHI[Date],0))</f>
        <v>7.9672788729659549E-2</v>
      </c>
      <c r="Z50" s="7">
        <f>INDEX(RXL[Monthly Return],MATCH($U50,RXL[Date],0))</f>
        <v>0.12703077349598013</v>
      </c>
      <c r="AA50" s="7">
        <f>INDEX(XLV[Monthly Return],MATCH($U50,XLV[Date],0))</f>
        <v>5.2844705902551636E-2</v>
      </c>
    </row>
    <row r="51" spans="12:27" x14ac:dyDescent="0.25">
      <c r="L51" s="11">
        <v>37</v>
      </c>
      <c r="M51" s="4">
        <v>2.2103693095623531</v>
      </c>
      <c r="N51" s="4">
        <v>1.4136003736344194</v>
      </c>
      <c r="O51" s="4">
        <v>1.3271851091737918</v>
      </c>
      <c r="P51" s="4">
        <v>1.6301323225162609</v>
      </c>
      <c r="Q51" s="4">
        <v>1.3230411778314681</v>
      </c>
      <c r="R51" s="4">
        <f t="shared" si="2"/>
        <v>1.577391183550175</v>
      </c>
      <c r="S51" s="2">
        <f t="shared" si="8"/>
        <v>0.57739118355017505</v>
      </c>
      <c r="U51" s="25">
        <v>43435</v>
      </c>
      <c r="V51" s="33">
        <v>38</v>
      </c>
      <c r="W51" s="7">
        <f>INDEX(CURE[Monthly Return],MATCH($U51,CURE[Date],0))</f>
        <v>-0.25536014157338638</v>
      </c>
      <c r="X51" s="7">
        <f>INDEX(IHF[Monthly Return],MATCH($U51,IHF[Date],0))</f>
        <v>-0.17409136655949398</v>
      </c>
      <c r="Y51" s="7">
        <f>INDEX(IHI[Monthly Return],MATCH($U51,IHI[Date],0))</f>
        <v>-7.7387134430892179E-2</v>
      </c>
      <c r="Z51" s="7">
        <f>INDEX(RXL[Monthly Return],MATCH($U51,RXL[Date],0))</f>
        <v>-0.18901102063648811</v>
      </c>
      <c r="AA51" s="7">
        <f>INDEX(XLV[Monthly Return],MATCH($U51,XLV[Date],0))</f>
        <v>-9.7632608977118562E-2</v>
      </c>
    </row>
    <row r="52" spans="12:27" x14ac:dyDescent="0.25">
      <c r="L52" s="11">
        <v>38</v>
      </c>
      <c r="M52" s="4">
        <v>0.43552423998357193</v>
      </c>
      <c r="N52" s="4">
        <v>0.70528950885268848</v>
      </c>
      <c r="O52" s="4">
        <v>0.84637227858996211</v>
      </c>
      <c r="P52" s="4">
        <v>0.57266057588456643</v>
      </c>
      <c r="Q52" s="4">
        <v>0.77793316964957138</v>
      </c>
      <c r="R52" s="4">
        <f t="shared" si="2"/>
        <v>0.67258221485354208</v>
      </c>
      <c r="S52" s="2">
        <f t="shared" si="8"/>
        <v>-0.32741778514645792</v>
      </c>
      <c r="U52" s="25">
        <v>43405</v>
      </c>
      <c r="V52" s="33">
        <v>39</v>
      </c>
      <c r="W52" s="7">
        <f>INDEX(CURE[Monthly Return],MATCH($U52,CURE[Date],0))</f>
        <v>0.20516789643567646</v>
      </c>
      <c r="X52" s="7">
        <f>INDEX(IHF[Monthly Return],MATCH($U52,IHF[Date],0))</f>
        <v>4.9866130261341901E-2</v>
      </c>
      <c r="Y52" s="7">
        <f>INDEX(IHI[Monthly Return],MATCH($U52,IHI[Date],0))</f>
        <v>5.525341715089227E-2</v>
      </c>
      <c r="Z52" s="7">
        <f>INDEX(RXL[Monthly Return],MATCH($U52,RXL[Date],0))</f>
        <v>0.12968622367078897</v>
      </c>
      <c r="AA52" s="7">
        <f>INDEX(XLV[Monthly Return],MATCH($U52,XLV[Date],0))</f>
        <v>8.0835433439106152E-2</v>
      </c>
    </row>
    <row r="53" spans="12:27" x14ac:dyDescent="0.25">
      <c r="L53" s="11">
        <v>39</v>
      </c>
      <c r="M53" s="4">
        <v>2.0764292006684748</v>
      </c>
      <c r="N53" s="4">
        <v>1.5463890033865824</v>
      </c>
      <c r="O53" s="4">
        <v>1.5851599537681171</v>
      </c>
      <c r="P53" s="4">
        <v>1.7500947004437606</v>
      </c>
      <c r="Q53" s="4">
        <v>1.3607112878649432</v>
      </c>
      <c r="R53" s="4">
        <f t="shared" si="2"/>
        <v>1.6662828809597579</v>
      </c>
      <c r="S53" s="2">
        <f t="shared" si="8"/>
        <v>0.66628288095975785</v>
      </c>
      <c r="U53" s="25">
        <v>43374</v>
      </c>
      <c r="V53" s="33">
        <v>40</v>
      </c>
      <c r="W53" s="7">
        <f>INDEX(CURE[Monthly Return],MATCH($U53,CURE[Date],0))</f>
        <v>-0.2029425697752173</v>
      </c>
      <c r="X53" s="7">
        <f>INDEX(IHF[Monthly Return],MATCH($U53,IHF[Date],0))</f>
        <v>-4.6202382669030428E-2</v>
      </c>
      <c r="Y53" s="7">
        <f>INDEX(IHI[Monthly Return],MATCH($U53,IHI[Date],0))</f>
        <v>-9.7392537842731053E-2</v>
      </c>
      <c r="Z53" s="7">
        <f>INDEX(RXL[Monthly Return],MATCH($U53,RXL[Date],0))</f>
        <v>-0.14511833934077389</v>
      </c>
      <c r="AA53" s="7">
        <f>INDEX(XLV[Monthly Return],MATCH($U53,XLV[Date],0))</f>
        <v>-6.4153895921458148E-2</v>
      </c>
    </row>
    <row r="54" spans="12:27" x14ac:dyDescent="0.25">
      <c r="L54" s="11">
        <v>40</v>
      </c>
      <c r="M54" s="4">
        <v>2.2771456623712911</v>
      </c>
      <c r="N54" s="4">
        <v>1.2967466408135357</v>
      </c>
      <c r="O54" s="4">
        <v>1.3017215410174874</v>
      </c>
      <c r="P54" s="4">
        <v>1.6778543469700591</v>
      </c>
      <c r="Q54" s="4">
        <v>1.3518691998421462</v>
      </c>
      <c r="R54" s="4">
        <f t="shared" si="2"/>
        <v>1.5811971335674617</v>
      </c>
      <c r="S54" s="2">
        <f t="shared" si="8"/>
        <v>0.58119713356746172</v>
      </c>
      <c r="U54" s="25">
        <v>43344</v>
      </c>
      <c r="V54" s="33">
        <v>41</v>
      </c>
      <c r="W54" s="7">
        <f>INDEX(CURE[Monthly Return],MATCH($U54,CURE[Date],0))</f>
        <v>8.3780299165828742E-2</v>
      </c>
      <c r="X54" s="7">
        <f>INDEX(IHF[Monthly Return],MATCH($U54,IHF[Date],0))</f>
        <v>1.4673401434096567E-2</v>
      </c>
      <c r="Y54" s="7">
        <f>INDEX(IHI[Monthly Return],MATCH($U54,IHI[Date],0))</f>
        <v>3.4707373799519381E-2</v>
      </c>
      <c r="Z54" s="7">
        <f>INDEX(RXL[Monthly Return],MATCH($U54,RXL[Date],0))</f>
        <v>4.8953278827424507E-2</v>
      </c>
      <c r="AA54" s="7">
        <f>INDEX(XLV[Monthly Return],MATCH($U54,XLV[Date],0))</f>
        <v>2.5543804548340043E-2</v>
      </c>
    </row>
    <row r="55" spans="12:27" x14ac:dyDescent="0.25">
      <c r="L55" s="11">
        <v>41</v>
      </c>
      <c r="M55" s="4">
        <v>1.5122725314406005</v>
      </c>
      <c r="N55" s="4">
        <v>1.2713481285494637</v>
      </c>
      <c r="O55" s="4">
        <v>1.260404943533121</v>
      </c>
      <c r="P55" s="4">
        <v>1.4645162772766696</v>
      </c>
      <c r="Q55" s="4">
        <v>1.1970203422167354</v>
      </c>
      <c r="R55" s="4">
        <f t="shared" si="2"/>
        <v>1.3417537211105961</v>
      </c>
      <c r="S55" s="2">
        <f t="shared" si="8"/>
        <v>0.3417537211105961</v>
      </c>
      <c r="U55" s="25">
        <v>43313</v>
      </c>
      <c r="V55" s="33">
        <v>42</v>
      </c>
      <c r="W55" s="7">
        <f>INDEX(CURE[Monthly Return],MATCH($U55,CURE[Date],0))</f>
        <v>0.12830318010538888</v>
      </c>
      <c r="X55" s="7">
        <f>INDEX(IHF[Monthly Return],MATCH($U55,IHF[Date],0))</f>
        <v>7.8877787424496582E-2</v>
      </c>
      <c r="Y55" s="7">
        <f>INDEX(IHI[Monthly Return],MATCH($U55,IHI[Date],0))</f>
        <v>5.55992404650405E-2</v>
      </c>
      <c r="Z55" s="7">
        <f>INDEX(RXL[Monthly Return],MATCH($U55,RXL[Date],0))</f>
        <v>8.7622746955479114E-2</v>
      </c>
      <c r="AA55" s="7">
        <f>INDEX(XLV[Monthly Return],MATCH($U55,XLV[Date],0))</f>
        <v>4.3293148834346207E-2</v>
      </c>
    </row>
    <row r="56" spans="12:27" x14ac:dyDescent="0.25">
      <c r="L56" s="11">
        <v>42</v>
      </c>
      <c r="M56" s="4">
        <v>3.1163735095184313</v>
      </c>
      <c r="N56" s="4">
        <v>1.6719049149568215</v>
      </c>
      <c r="O56" s="4">
        <v>1.2045985409068649</v>
      </c>
      <c r="P56" s="4">
        <v>1.988458079836928</v>
      </c>
      <c r="Q56" s="4">
        <v>1.4677469235199987</v>
      </c>
      <c r="R56" s="4">
        <f t="shared" si="2"/>
        <v>1.8708295963578994</v>
      </c>
      <c r="S56" s="2">
        <f t="shared" si="8"/>
        <v>0.87082959635789936</v>
      </c>
      <c r="U56" s="25">
        <v>43282</v>
      </c>
      <c r="V56" s="33">
        <v>43</v>
      </c>
      <c r="W56" s="7">
        <f>INDEX(CURE[Monthly Return],MATCH($U56,CURE[Date],0))</f>
        <v>0.20362610779678181</v>
      </c>
      <c r="X56" s="7">
        <f>INDEX(IHF[Monthly Return],MATCH($U56,IHF[Date],0))</f>
        <v>3.988268024936481E-2</v>
      </c>
      <c r="Y56" s="7">
        <f>INDEX(IHI[Monthly Return],MATCH($U56,IHI[Date],0))</f>
        <v>3.8551578539843145E-2</v>
      </c>
      <c r="Z56" s="7">
        <f>INDEX(RXL[Monthly Return],MATCH($U56,RXL[Date],0))</f>
        <v>0.12758407243782677</v>
      </c>
      <c r="AA56" s="7">
        <f>INDEX(XLV[Monthly Return],MATCH($U56,XLV[Date],0))</f>
        <v>6.9487441897401192E-2</v>
      </c>
    </row>
    <row r="57" spans="12:27" x14ac:dyDescent="0.25">
      <c r="L57" s="11">
        <v>43</v>
      </c>
      <c r="M57" s="4">
        <v>0.91954369723089779</v>
      </c>
      <c r="N57" s="4">
        <v>0.82143054646869385</v>
      </c>
      <c r="O57" s="4">
        <v>1.2170156909292653</v>
      </c>
      <c r="P57" s="4">
        <v>0.94175305198240999</v>
      </c>
      <c r="Q57" s="4">
        <v>1.016048899244596</v>
      </c>
      <c r="R57" s="4">
        <f t="shared" si="2"/>
        <v>0.99854635154713622</v>
      </c>
      <c r="S57" s="2">
        <f t="shared" si="8"/>
        <v>-1.4536484528637761E-3</v>
      </c>
      <c r="U57" s="25">
        <v>43252</v>
      </c>
      <c r="V57" s="33">
        <v>44</v>
      </c>
      <c r="W57" s="7">
        <f>INDEX(CURE[Monthly Return],MATCH($U57,CURE[Date],0))</f>
        <v>4.0120045331803578E-2</v>
      </c>
      <c r="X57" s="7">
        <f>INDEX(IHF[Monthly Return],MATCH($U57,IHF[Date],0))</f>
        <v>2.7434888179547645E-2</v>
      </c>
      <c r="Y57" s="7">
        <f>INDEX(IHI[Monthly Return],MATCH($U57,IHI[Date],0))</f>
        <v>1.3689726113497391E-2</v>
      </c>
      <c r="Z57" s="7">
        <f>INDEX(RXL[Monthly Return],MATCH($U57,RXL[Date],0))</f>
        <v>3.4945223189196906E-2</v>
      </c>
      <c r="AA57" s="7">
        <f>INDEX(XLV[Monthly Return],MATCH($U57,XLV[Date],0))</f>
        <v>1.2740803389245547E-2</v>
      </c>
    </row>
    <row r="58" spans="12:27" x14ac:dyDescent="0.25">
      <c r="L58" s="11">
        <v>44</v>
      </c>
      <c r="M58" s="4">
        <v>1.1102030410240098</v>
      </c>
      <c r="N58" s="4">
        <v>1.0393191683270051</v>
      </c>
      <c r="O58" s="4">
        <v>1.2012216732667051</v>
      </c>
      <c r="P58" s="4">
        <v>1.1123156152073574</v>
      </c>
      <c r="Q58" s="4">
        <v>1.1435282215279465</v>
      </c>
      <c r="R58" s="4">
        <f t="shared" si="2"/>
        <v>1.1275832813429947</v>
      </c>
      <c r="S58" s="2">
        <f t="shared" si="8"/>
        <v>0.12758328134299468</v>
      </c>
      <c r="U58" s="25">
        <v>43221</v>
      </c>
      <c r="V58" s="33">
        <v>45</v>
      </c>
      <c r="W58" s="7">
        <f>INDEX(CURE[Monthly Return],MATCH($U58,CURE[Date],0))</f>
        <v>-5.6991022406885916E-3</v>
      </c>
      <c r="X58" s="7">
        <f>INDEX(IHF[Monthly Return],MATCH($U58,IHF[Date],0))</f>
        <v>4.2377926017178158E-2</v>
      </c>
      <c r="Y58" s="7">
        <f>INDEX(IHI[Monthly Return],MATCH($U58,IHI[Date],0))</f>
        <v>5.0804154799798829E-2</v>
      </c>
      <c r="Z58" s="7">
        <f>INDEX(RXL[Monthly Return],MATCH($U58,RXL[Date],0))</f>
        <v>1.5829795631653099E-2</v>
      </c>
      <c r="AA58" s="7">
        <f>INDEX(XLV[Monthly Return],MATCH($U58,XLV[Date],0))</f>
        <v>1.8232476419939303E-3</v>
      </c>
    </row>
    <row r="59" spans="12:27" x14ac:dyDescent="0.25">
      <c r="L59" s="11">
        <v>45</v>
      </c>
      <c r="M59" s="4">
        <v>1.4028787831357015</v>
      </c>
      <c r="N59" s="4">
        <v>1.1350258969462719</v>
      </c>
      <c r="O59" s="4">
        <v>1.3546024979867111</v>
      </c>
      <c r="P59" s="4">
        <v>1.3173260180525945</v>
      </c>
      <c r="Q59" s="4">
        <v>1.15065669433285</v>
      </c>
      <c r="R59" s="4">
        <f t="shared" si="2"/>
        <v>1.2813457536197046</v>
      </c>
      <c r="S59" s="2">
        <f t="shared" si="8"/>
        <v>0.2813457536197046</v>
      </c>
      <c r="U59" s="25">
        <v>43191</v>
      </c>
      <c r="V59" s="33">
        <v>46</v>
      </c>
      <c r="W59" s="7">
        <f>INDEX(CURE[Monthly Return],MATCH($U59,CURE[Date],0))</f>
        <v>1.9048564151273428E-2</v>
      </c>
      <c r="X59" s="7">
        <f>INDEX(IHF[Monthly Return],MATCH($U59,IHF[Date],0))</f>
        <v>3.9386873415842238E-2</v>
      </c>
      <c r="Y59" s="7">
        <f>INDEX(IHI[Monthly Return],MATCH($U59,IHI[Date],0))</f>
        <v>1.8263177405756226E-2</v>
      </c>
      <c r="Z59" s="7">
        <f>INDEX(RXL[Monthly Return],MATCH($U59,RXL[Date],0))</f>
        <v>3.292823201086037E-3</v>
      </c>
      <c r="AA59" s="7">
        <f>INDEX(XLV[Monthly Return],MATCH($U59,XLV[Date],0))</f>
        <v>1.4115802028215718E-2</v>
      </c>
    </row>
    <row r="60" spans="12:27" x14ac:dyDescent="0.25">
      <c r="L60" s="11">
        <v>46</v>
      </c>
      <c r="M60" s="4">
        <v>1.8631954004556297</v>
      </c>
      <c r="N60" s="4">
        <v>1.186165883032505</v>
      </c>
      <c r="O60" s="4">
        <v>1.2804776016839421</v>
      </c>
      <c r="P60" s="4">
        <v>1.649427410805296</v>
      </c>
      <c r="Q60" s="4">
        <v>1.3279141844320401</v>
      </c>
      <c r="R60" s="4">
        <f t="shared" si="2"/>
        <v>1.4659956133062824</v>
      </c>
      <c r="S60" s="2">
        <f t="shared" si="8"/>
        <v>0.46599561330628236</v>
      </c>
      <c r="U60" s="25">
        <v>43160</v>
      </c>
      <c r="V60" s="33">
        <v>47</v>
      </c>
      <c r="W60" s="7">
        <f>INDEX(CURE[Monthly Return],MATCH($U60,CURE[Date],0))</f>
        <v>-9.8241584512818947E-2</v>
      </c>
      <c r="X60" s="7">
        <f>INDEX(IHF[Monthly Return],MATCH($U60,IHF[Date],0))</f>
        <v>-2.2230527761557206E-2</v>
      </c>
      <c r="Y60" s="7">
        <f>INDEX(IHI[Monthly Return],MATCH($U60,IHI[Date],0))</f>
        <v>7.0235715819553235E-3</v>
      </c>
      <c r="Z60" s="7">
        <f>INDEX(RXL[Monthly Return],MATCH($U60,RXL[Date],0))</f>
        <v>-5.2200293998060809E-2</v>
      </c>
      <c r="AA60" s="7">
        <f>INDEX(XLV[Monthly Return],MATCH($U60,XLV[Date],0))</f>
        <v>-3.256508363114341E-2</v>
      </c>
    </row>
    <row r="61" spans="12:27" x14ac:dyDescent="0.25">
      <c r="L61" s="11">
        <v>47</v>
      </c>
      <c r="M61" s="4">
        <v>1.7026664608345328</v>
      </c>
      <c r="N61" s="4">
        <v>1.0831913025284758</v>
      </c>
      <c r="O61" s="4">
        <v>1.3302236960713656</v>
      </c>
      <c r="P61" s="4">
        <v>1.4409260515166322</v>
      </c>
      <c r="Q61" s="4">
        <v>1.2158584973981039</v>
      </c>
      <c r="R61" s="4">
        <f t="shared" si="2"/>
        <v>1.3646836735564816</v>
      </c>
      <c r="S61" s="2">
        <f t="shared" si="8"/>
        <v>0.36468367355648157</v>
      </c>
      <c r="U61" s="25">
        <v>43132</v>
      </c>
      <c r="V61" s="33">
        <v>48</v>
      </c>
      <c r="W61" s="7">
        <f>INDEX(CURE[Monthly Return],MATCH($U61,CURE[Date],0))</f>
        <v>-0.1467375199297527</v>
      </c>
      <c r="X61" s="7">
        <f>INDEX(IHF[Monthly Return],MATCH($U61,IHF[Date],0))</f>
        <v>-3.5938635885823245E-2</v>
      </c>
      <c r="Y61" s="7">
        <f>INDEX(IHI[Monthly Return],MATCH($U61,IHI[Date],0))</f>
        <v>-3.9222096669756068E-2</v>
      </c>
      <c r="Z61" s="7">
        <f>INDEX(RXL[Monthly Return],MATCH($U61,RXL[Date],0))</f>
        <v>-8.8875092868701544E-2</v>
      </c>
      <c r="AA61" s="7">
        <f>INDEX(XLV[Monthly Return],MATCH($U61,XLV[Date],0))</f>
        <v>-4.4948499301675104E-2</v>
      </c>
    </row>
    <row r="62" spans="12:27" x14ac:dyDescent="0.25">
      <c r="L62" s="11">
        <v>48</v>
      </c>
      <c r="M62" s="4">
        <v>1.4407398145366936</v>
      </c>
      <c r="N62" s="4">
        <v>1.1963024298736917</v>
      </c>
      <c r="O62" s="4">
        <v>1.2269697514498989</v>
      </c>
      <c r="P62" s="4">
        <v>1.2580874470667687</v>
      </c>
      <c r="Q62" s="4">
        <v>1.1753989193774508</v>
      </c>
      <c r="R62" s="4">
        <f t="shared" si="2"/>
        <v>1.2606457073540995</v>
      </c>
      <c r="S62" s="2">
        <f t="shared" si="8"/>
        <v>0.26064570735409953</v>
      </c>
      <c r="U62" s="25">
        <v>43101</v>
      </c>
      <c r="V62" s="33">
        <v>49</v>
      </c>
      <c r="W62" s="7">
        <f>INDEX(CURE[Monthly Return],MATCH($U62,CURE[Date],0))</f>
        <v>0.20277308866361698</v>
      </c>
      <c r="X62" s="7">
        <f>INDEX(IHF[Monthly Return],MATCH($U62,IHF[Date],0))</f>
        <v>6.8680097206629265E-2</v>
      </c>
      <c r="Y62" s="7">
        <f>INDEX(IHI[Monthly Return],MATCH($U62,IHI[Date],0))</f>
        <v>0.10376866024601217</v>
      </c>
      <c r="Z62" s="7">
        <f>INDEX(RXL[Monthly Return],MATCH($U62,RXL[Date],0))</f>
        <v>0.1259405087398846</v>
      </c>
      <c r="AA62" s="7">
        <f>INDEX(XLV[Monthly Return],MATCH($U62,XLV[Date],0))</f>
        <v>6.981364097032805E-2</v>
      </c>
    </row>
    <row r="63" spans="12:27" x14ac:dyDescent="0.25">
      <c r="L63" s="11">
        <v>49</v>
      </c>
      <c r="M63" s="4">
        <v>2.8818570362254441</v>
      </c>
      <c r="N63" s="4">
        <v>1.4366415609899459</v>
      </c>
      <c r="O63" s="4">
        <v>1.7724052979359084</v>
      </c>
      <c r="P63" s="4">
        <v>2.1071142116297397</v>
      </c>
      <c r="Q63" s="4">
        <v>1.4704848384949691</v>
      </c>
      <c r="R63" s="4">
        <f t="shared" si="2"/>
        <v>1.9479281455125919</v>
      </c>
      <c r="S63" s="2">
        <f t="shared" si="8"/>
        <v>0.94792814551259186</v>
      </c>
      <c r="U63" s="25">
        <v>43070</v>
      </c>
      <c r="V63" s="33">
        <v>50</v>
      </c>
      <c r="W63" s="7">
        <f>INDEX(CURE[Monthly Return],MATCH($U63,CURE[Date],0))</f>
        <v>-2.6122732335159715E-2</v>
      </c>
      <c r="X63" s="7">
        <f>INDEX(IHF[Monthly Return],MATCH($U63,IHF[Date],0))</f>
        <v>1.9155350569999285E-4</v>
      </c>
      <c r="Y63" s="7">
        <f>INDEX(IHI[Monthly Return],MATCH($U63,IHI[Date],0))</f>
        <v>-2.3690052298715014E-2</v>
      </c>
      <c r="Z63" s="7">
        <f>INDEX(RXL[Monthly Return],MATCH($U63,RXL[Date],0))</f>
        <v>-1.0872103171634673E-2</v>
      </c>
      <c r="AA63" s="7">
        <f>INDEX(XLV[Monthly Return],MATCH($U63,XLV[Date],0))</f>
        <v>-9.4646016157565738E-3</v>
      </c>
    </row>
    <row r="64" spans="12:27" x14ac:dyDescent="0.25">
      <c r="L64" s="11">
        <v>50</v>
      </c>
      <c r="M64" s="4">
        <v>2.1538939975812359</v>
      </c>
      <c r="N64" s="4">
        <v>1.3450854436583337</v>
      </c>
      <c r="O64" s="4">
        <v>1.5851401842441104</v>
      </c>
      <c r="P64" s="4">
        <v>1.736596611046022</v>
      </c>
      <c r="Q64" s="4">
        <v>1.3484491261985589</v>
      </c>
      <c r="R64" s="4">
        <f t="shared" si="2"/>
        <v>1.6440561921012664</v>
      </c>
      <c r="S64" s="2">
        <f t="shared" si="8"/>
        <v>0.64405619210126641</v>
      </c>
      <c r="U64" s="25">
        <v>43040</v>
      </c>
      <c r="V64" s="33">
        <v>51</v>
      </c>
      <c r="W64" s="7">
        <f>INDEX(CURE[Monthly Return],MATCH($U64,CURE[Date],0))</f>
        <v>8.429542536782697E-2</v>
      </c>
      <c r="X64" s="7">
        <f>INDEX(IHF[Monthly Return],MATCH($U64,IHF[Date],0))</f>
        <v>5.0020077966475007E-2</v>
      </c>
      <c r="Y64" s="7">
        <f>INDEX(IHI[Monthly Return],MATCH($U64,IHI[Date],0))</f>
        <v>3.0144043071979265E-2</v>
      </c>
      <c r="Z64" s="7">
        <f>INDEX(RXL[Monthly Return],MATCH($U64,RXL[Date],0))</f>
        <v>6.2782181318813857E-2</v>
      </c>
      <c r="AA64" s="7">
        <f>INDEX(XLV[Monthly Return],MATCH($U64,XLV[Date],0))</f>
        <v>2.9096471694280091E-2</v>
      </c>
    </row>
    <row r="65" spans="12:27" x14ac:dyDescent="0.25">
      <c r="L65" s="11">
        <v>51</v>
      </c>
      <c r="M65" s="4">
        <v>2.3958231303179369</v>
      </c>
      <c r="N65" s="4">
        <v>1.6764576371244828</v>
      </c>
      <c r="O65" s="4">
        <v>1.8219954438214556</v>
      </c>
      <c r="P65" s="4">
        <v>1.8926620484690762</v>
      </c>
      <c r="Q65" s="4">
        <v>1.395873134694432</v>
      </c>
      <c r="R65" s="4">
        <f t="shared" si="2"/>
        <v>1.843420465683048</v>
      </c>
      <c r="S65" s="2">
        <f t="shared" si="8"/>
        <v>0.84342046568304796</v>
      </c>
      <c r="U65" s="25">
        <v>43009</v>
      </c>
      <c r="V65" s="33">
        <v>52</v>
      </c>
      <c r="W65" s="7">
        <f>INDEX(CURE[Monthly Return],MATCH($U65,CURE[Date],0))</f>
        <v>-2.989494433617812E-2</v>
      </c>
      <c r="X65" s="7">
        <f>INDEX(IHF[Monthly Return],MATCH($U65,IHF[Date],0))</f>
        <v>1.1337351805077889E-2</v>
      </c>
      <c r="Y65" s="7">
        <f>INDEX(IHI[Monthly Return],MATCH($U65,IHI[Date],0))</f>
        <v>3.4048801460327294E-2</v>
      </c>
      <c r="Z65" s="7">
        <f>INDEX(RXL[Monthly Return],MATCH($U65,RXL[Date],0))</f>
        <v>-1.8131926620696182E-2</v>
      </c>
      <c r="AA65" s="7">
        <f>INDEX(XLV[Monthly Return],MATCH($U65,XLV[Date],0))</f>
        <v>-3.9322588069107267E-3</v>
      </c>
    </row>
    <row r="66" spans="12:27" x14ac:dyDescent="0.25">
      <c r="L66" s="11">
        <v>52</v>
      </c>
      <c r="M66" s="4">
        <v>2.4601892149556384</v>
      </c>
      <c r="N66" s="4">
        <v>1.6569788024460446</v>
      </c>
      <c r="O66" s="4">
        <v>1.3946151628093564</v>
      </c>
      <c r="P66" s="4">
        <v>1.9841990457440393</v>
      </c>
      <c r="Q66" s="4">
        <v>1.3862569775157376</v>
      </c>
      <c r="R66" s="4">
        <f t="shared" si="2"/>
        <v>1.7675655822211283</v>
      </c>
      <c r="S66" s="2">
        <f t="shared" si="8"/>
        <v>0.76756558222112825</v>
      </c>
      <c r="U66" s="25">
        <v>42979</v>
      </c>
      <c r="V66" s="33">
        <v>53</v>
      </c>
      <c r="W66" s="7">
        <f>INDEX(CURE[Monthly Return],MATCH($U66,CURE[Date],0))</f>
        <v>2.431905945194357E-2</v>
      </c>
      <c r="X66" s="7">
        <f>INDEX(IHF[Monthly Return],MATCH($U66,IHF[Date],0))</f>
        <v>0</v>
      </c>
      <c r="Y66" s="7">
        <f>INDEX(IHI[Monthly Return],MATCH($U66,IHI[Date],0))</f>
        <v>6.5093661527628743E-3</v>
      </c>
      <c r="Z66" s="7">
        <f>INDEX(RXL[Monthly Return],MATCH($U66,RXL[Date],0))</f>
        <v>1.7496016521207469E-2</v>
      </c>
      <c r="AA66" s="7">
        <f>INDEX(XLV[Monthly Return],MATCH($U66,XLV[Date],0))</f>
        <v>5.4123491989190864E-3</v>
      </c>
    </row>
    <row r="67" spans="12:27" x14ac:dyDescent="0.25">
      <c r="L67" s="11">
        <v>53</v>
      </c>
      <c r="M67" s="4">
        <v>1.2765892161925607</v>
      </c>
      <c r="N67" s="4">
        <v>1.2480224260568611</v>
      </c>
      <c r="O67" s="4">
        <v>1.2364557105067642</v>
      </c>
      <c r="P67" s="4">
        <v>1.2715325811585092</v>
      </c>
      <c r="Q67" s="4">
        <v>1.1601632927679828</v>
      </c>
      <c r="R67" s="4">
        <f t="shared" si="2"/>
        <v>1.2386037192884447</v>
      </c>
      <c r="S67" s="2">
        <f t="shared" si="8"/>
        <v>0.2386037192884447</v>
      </c>
      <c r="U67" s="25">
        <v>42948</v>
      </c>
      <c r="V67" s="33">
        <v>54</v>
      </c>
      <c r="W67" s="7">
        <f>INDEX(CURE[Monthly Return],MATCH($U67,CURE[Date],0))</f>
        <v>4.5923277217149394E-2</v>
      </c>
      <c r="X67" s="7">
        <f>INDEX(IHF[Monthly Return],MATCH($U67,IHF[Date],0))</f>
        <v>1.5256112369520958E-2</v>
      </c>
      <c r="Y67" s="7">
        <f>INDEX(IHI[Monthly Return],MATCH($U67,IHI[Date],0))</f>
        <v>9.0587486493287628E-3</v>
      </c>
      <c r="Z67" s="7">
        <f>INDEX(RXL[Monthly Return],MATCH($U67,RXL[Date],0))</f>
        <v>3.8823420571637124E-2</v>
      </c>
      <c r="AA67" s="7">
        <f>INDEX(XLV[Monthly Return],MATCH($U67,XLV[Date],0))</f>
        <v>1.7524251285125469E-2</v>
      </c>
    </row>
    <row r="68" spans="12:27" x14ac:dyDescent="0.25">
      <c r="L68" s="11">
        <v>54</v>
      </c>
      <c r="M68" s="4">
        <v>1.1188838515619437</v>
      </c>
      <c r="N68" s="4">
        <v>1.2977993180246767</v>
      </c>
      <c r="O68" s="4">
        <v>1.1590846904835825</v>
      </c>
      <c r="P68" s="4">
        <v>1.0845964294026267</v>
      </c>
      <c r="Q68" s="4">
        <v>1.0869472970512468</v>
      </c>
      <c r="R68" s="4">
        <f t="shared" si="2"/>
        <v>1.1439476727970792</v>
      </c>
      <c r="S68" s="2">
        <f t="shared" si="8"/>
        <v>0.14394767279707921</v>
      </c>
      <c r="U68" s="25">
        <v>42917</v>
      </c>
      <c r="V68" s="33">
        <v>55</v>
      </c>
      <c r="W68" s="7">
        <f>INDEX(CURE[Monthly Return],MATCH($U68,CURE[Date],0))</f>
        <v>1.7982869734739948E-2</v>
      </c>
      <c r="X68" s="7">
        <f>INDEX(IHF[Monthly Return],MATCH($U68,IHF[Date],0))</f>
        <v>-2.0008381522318985E-2</v>
      </c>
      <c r="Y68" s="7">
        <f>INDEX(IHI[Monthly Return],MATCH($U68,IHI[Date],0))</f>
        <v>-1.2584039754457765E-2</v>
      </c>
      <c r="Z68" s="7">
        <f>INDEX(RXL[Monthly Return],MATCH($U68,RXL[Date],0))</f>
        <v>1.1001372643691498E-2</v>
      </c>
      <c r="AA68" s="7">
        <f>INDEX(XLV[Monthly Return],MATCH($U68,XLV[Date],0))</f>
        <v>1.2206195959299837E-2</v>
      </c>
    </row>
    <row r="69" spans="12:27" x14ac:dyDescent="0.25">
      <c r="L69" s="11">
        <v>55</v>
      </c>
      <c r="M69" s="4">
        <v>4.2111928969593881</v>
      </c>
      <c r="N69" s="4">
        <v>1.7940511829029007</v>
      </c>
      <c r="O69" s="4">
        <v>1.4840626513120323</v>
      </c>
      <c r="P69" s="4">
        <v>2.7019032543509161</v>
      </c>
      <c r="Q69" s="4">
        <v>1.6897309141501939</v>
      </c>
      <c r="R69" s="4">
        <f t="shared" si="2"/>
        <v>2.3646183399041396</v>
      </c>
      <c r="S69" s="2">
        <f t="shared" si="8"/>
        <v>1.3646183399041396</v>
      </c>
      <c r="U69" s="25">
        <v>42887</v>
      </c>
      <c r="V69" s="33">
        <v>56</v>
      </c>
      <c r="W69" s="7">
        <f>INDEX(CURE[Monthly Return],MATCH($U69,CURE[Date],0))</f>
        <v>0.13899416220066652</v>
      </c>
      <c r="X69" s="7">
        <f>INDEX(IHF[Monthly Return],MATCH($U69,IHF[Date],0))</f>
        <v>6.0986981927057204E-2</v>
      </c>
      <c r="Y69" s="7">
        <f>INDEX(IHI[Monthly Return],MATCH($U69,IHI[Date],0))</f>
        <v>3.6128978522509181E-2</v>
      </c>
      <c r="Z69" s="7">
        <f>INDEX(RXL[Monthly Return],MATCH($U69,RXL[Date],0))</f>
        <v>0.10177554345555584</v>
      </c>
      <c r="AA69" s="7">
        <f>INDEX(XLV[Monthly Return],MATCH($U69,XLV[Date],0))</f>
        <v>4.15361395940681E-2</v>
      </c>
    </row>
    <row r="70" spans="12:27" x14ac:dyDescent="0.25">
      <c r="L70" s="11">
        <v>56</v>
      </c>
      <c r="M70" s="4">
        <v>0.71317200712480344</v>
      </c>
      <c r="N70" s="4">
        <v>0.99949802548111044</v>
      </c>
      <c r="O70" s="4">
        <v>0.97017534815537443</v>
      </c>
      <c r="P70" s="4">
        <v>0.79791979088065323</v>
      </c>
      <c r="Q70" s="4">
        <v>0.93513951599958867</v>
      </c>
      <c r="R70" s="4">
        <f t="shared" si="2"/>
        <v>0.88165619339826795</v>
      </c>
      <c r="S70" s="2">
        <f t="shared" si="8"/>
        <v>-0.11834380660173205</v>
      </c>
      <c r="U70" s="25">
        <v>42856</v>
      </c>
      <c r="V70" s="33">
        <v>57</v>
      </c>
      <c r="W70" s="7">
        <f>INDEX(CURE[Monthly Return],MATCH($U70,CURE[Date],0))</f>
        <v>1.9205354357505477E-2</v>
      </c>
      <c r="X70" s="7">
        <f>INDEX(IHF[Monthly Return],MATCH($U70,IHF[Date],0))</f>
        <v>1.8844105535030797E-2</v>
      </c>
      <c r="Y70" s="7">
        <f>INDEX(IHI[Monthly Return],MATCH($U70,IHI[Date],0))</f>
        <v>1.9401026591022941E-2</v>
      </c>
      <c r="Z70" s="7">
        <f>INDEX(RXL[Monthly Return],MATCH($U70,RXL[Date],0))</f>
        <v>-5.5115896482338389E-4</v>
      </c>
      <c r="AA70" s="7">
        <f>INDEX(XLV[Monthly Return],MATCH($U70,XLV[Date],0))</f>
        <v>7.6819135784720327E-3</v>
      </c>
    </row>
    <row r="71" spans="12:27" x14ac:dyDescent="0.25">
      <c r="L71" s="11">
        <v>57</v>
      </c>
      <c r="M71" s="4">
        <v>1.8894601073561921</v>
      </c>
      <c r="N71" s="4">
        <v>1.3879905786766376</v>
      </c>
      <c r="O71" s="4">
        <v>1.3300381885138801</v>
      </c>
      <c r="P71" s="4">
        <v>1.5616443815289123</v>
      </c>
      <c r="Q71" s="4">
        <v>1.2544222164213017</v>
      </c>
      <c r="R71" s="4">
        <f t="shared" si="2"/>
        <v>1.4830025278191563</v>
      </c>
      <c r="S71" s="2">
        <f t="shared" si="8"/>
        <v>0.48300252781915631</v>
      </c>
      <c r="U71" s="25">
        <v>42826</v>
      </c>
      <c r="V71" s="33">
        <v>58</v>
      </c>
      <c r="W71" s="7">
        <f>INDEX(CURE[Monthly Return],MATCH($U71,CURE[Date],0))</f>
        <v>4.2355194778320948E-2</v>
      </c>
      <c r="X71" s="7">
        <f>INDEX(IHF[Monthly Return],MATCH($U71,IHF[Date],0))</f>
        <v>2.5381656244228168E-2</v>
      </c>
      <c r="Y71" s="7">
        <f>INDEX(IHI[Monthly Return],MATCH($U71,IHI[Date],0))</f>
        <v>4.2612264606470385E-2</v>
      </c>
      <c r="Z71" s="7">
        <f>INDEX(RXL[Monthly Return],MATCH($U71,RXL[Date],0))</f>
        <v>3.5491309486063605E-2</v>
      </c>
      <c r="AA71" s="7">
        <f>INDEX(XLV[Monthly Return],MATCH($U71,XLV[Date],0))</f>
        <v>1.9011807857549856E-2</v>
      </c>
    </row>
    <row r="72" spans="12:27" x14ac:dyDescent="0.25">
      <c r="L72" s="11">
        <v>58</v>
      </c>
      <c r="M72" s="4">
        <v>1.0713915154992173</v>
      </c>
      <c r="N72" s="4">
        <v>1.1398680599904512</v>
      </c>
      <c r="O72" s="4">
        <v>1.4662616185762494</v>
      </c>
      <c r="P72" s="4">
        <v>1.1060260346611879</v>
      </c>
      <c r="Q72" s="4">
        <v>1.0651032180596149</v>
      </c>
      <c r="R72" s="4">
        <f t="shared" si="2"/>
        <v>1.1830209831858172</v>
      </c>
      <c r="S72" s="2">
        <f t="shared" si="8"/>
        <v>0.18302098318581717</v>
      </c>
      <c r="U72" s="25">
        <v>42795</v>
      </c>
      <c r="V72" s="33">
        <v>59</v>
      </c>
      <c r="W72" s="7">
        <f>INDEX(CURE[Monthly Return],MATCH($U72,CURE[Date],0))</f>
        <v>-1.8508041234720385E-2</v>
      </c>
      <c r="X72" s="7">
        <f>INDEX(IHF[Monthly Return],MATCH($U72,IHF[Date],0))</f>
        <v>-1.2446758793556834E-2</v>
      </c>
      <c r="Y72" s="7">
        <f>INDEX(IHI[Monthly Return],MATCH($U72,IHI[Date],0))</f>
        <v>1.3044187184086065E-2</v>
      </c>
      <c r="Z72" s="7">
        <f>INDEX(RXL[Monthly Return],MATCH($U72,RXL[Date],0))</f>
        <v>-1.7368054336065586E-2</v>
      </c>
      <c r="AA72" s="7">
        <f>INDEX(XLV[Monthly Return],MATCH($U72,XLV[Date],0))</f>
        <v>-8.4012985409570584E-3</v>
      </c>
    </row>
    <row r="73" spans="12:27" x14ac:dyDescent="0.25">
      <c r="L73" s="11">
        <v>59</v>
      </c>
      <c r="M73" s="4">
        <v>2.1536231335203357</v>
      </c>
      <c r="N73" s="4">
        <v>1.3082047631293698</v>
      </c>
      <c r="O73" s="4">
        <v>1.4615429588143589</v>
      </c>
      <c r="P73" s="4">
        <v>1.7362198006031313</v>
      </c>
      <c r="Q73" s="4">
        <v>1.3422616803546292</v>
      </c>
      <c r="R73" s="4">
        <f t="shared" si="2"/>
        <v>1.6071514618376794</v>
      </c>
      <c r="S73" s="2">
        <f t="shared" si="8"/>
        <v>0.60715146183767943</v>
      </c>
      <c r="U73" s="25">
        <v>42767</v>
      </c>
      <c r="V73" s="33">
        <v>60</v>
      </c>
      <c r="W73" s="7">
        <f>INDEX(CURE[Monthly Return],MATCH($U73,CURE[Date],0))</f>
        <v>0.20027372262773713</v>
      </c>
      <c r="X73" s="7">
        <f>INDEX(IHF[Monthly Return],MATCH($U73,IHF[Date],0))</f>
        <v>4.7847200006562174E-2</v>
      </c>
      <c r="Y73" s="7">
        <f>INDEX(IHI[Monthly Return],MATCH($U73,IHI[Date],0))</f>
        <v>5.1345895885385628E-2</v>
      </c>
      <c r="Z73" s="7">
        <f>INDEX(RXL[Monthly Return],MATCH($U73,RXL[Date],0))</f>
        <v>0.1456988671579651</v>
      </c>
      <c r="AA73" s="7">
        <f>INDEX(XLV[Monthly Return],MATCH($U73,XLV[Date],0))</f>
        <v>6.3386296833465527E-2</v>
      </c>
    </row>
    <row r="74" spans="12:27" x14ac:dyDescent="0.25">
      <c r="L74" s="11">
        <v>60</v>
      </c>
      <c r="M74" s="4">
        <v>2.9821367427848582</v>
      </c>
      <c r="N74" s="4">
        <v>1.5588877942158679</v>
      </c>
      <c r="O74" s="4">
        <v>1.5541472987102858</v>
      </c>
      <c r="P74" s="4">
        <v>2.2671870533280014</v>
      </c>
      <c r="Q74" s="4">
        <v>1.4781516924760352</v>
      </c>
      <c r="R74" s="4">
        <f t="shared" si="2"/>
        <v>1.9696327447019175</v>
      </c>
      <c r="S74" s="2">
        <f t="shared" si="8"/>
        <v>0.96963274470191751</v>
      </c>
    </row>
    <row r="75" spans="12:27" x14ac:dyDescent="0.25">
      <c r="L75" s="11">
        <v>61</v>
      </c>
      <c r="M75" s="4">
        <v>1.0176398798181505</v>
      </c>
      <c r="N75" s="4">
        <v>1.0789140912956909</v>
      </c>
      <c r="O75" s="4">
        <v>1.0524700225172376</v>
      </c>
      <c r="P75" s="4">
        <v>1.0120174330360132</v>
      </c>
      <c r="Q75" s="4">
        <v>1.0658783355088841</v>
      </c>
      <c r="R75" s="4">
        <f t="shared" si="2"/>
        <v>1.0440908289921444</v>
      </c>
      <c r="S75" s="2">
        <f t="shared" si="8"/>
        <v>4.4090828992144449E-2</v>
      </c>
    </row>
    <row r="76" spans="12:27" x14ac:dyDescent="0.25">
      <c r="L76" s="11">
        <v>62</v>
      </c>
      <c r="M76" s="4">
        <v>1.5481909618199536</v>
      </c>
      <c r="N76" s="4">
        <v>1.3026629325325143</v>
      </c>
      <c r="O76" s="4">
        <v>1.2432002103856916</v>
      </c>
      <c r="P76" s="4">
        <v>1.3784010313049924</v>
      </c>
      <c r="Q76" s="4">
        <v>1.1948904045929507</v>
      </c>
      <c r="R76" s="4">
        <f t="shared" si="2"/>
        <v>1.3315358294236048</v>
      </c>
      <c r="S76" s="2">
        <f t="shared" si="8"/>
        <v>0.33153582942360482</v>
      </c>
    </row>
    <row r="77" spans="12:27" x14ac:dyDescent="0.25">
      <c r="L77" s="11">
        <v>63</v>
      </c>
      <c r="M77" s="4">
        <v>2.2984909417321377</v>
      </c>
      <c r="N77" s="4">
        <v>1.7177854158882089</v>
      </c>
      <c r="O77" s="4">
        <v>1.5947860958639899</v>
      </c>
      <c r="P77" s="4">
        <v>1.9725092132527586</v>
      </c>
      <c r="Q77" s="4">
        <v>1.3841537783342224</v>
      </c>
      <c r="R77" s="4">
        <f t="shared" si="2"/>
        <v>1.7905632325876653</v>
      </c>
      <c r="S77" s="2">
        <f t="shared" si="8"/>
        <v>0.79056323258766525</v>
      </c>
    </row>
    <row r="78" spans="12:27" x14ac:dyDescent="0.25">
      <c r="L78" s="11">
        <v>64</v>
      </c>
      <c r="M78" s="4">
        <v>1.0401648153486955</v>
      </c>
      <c r="N78" s="4">
        <v>1.0852727440961705</v>
      </c>
      <c r="O78" s="4">
        <v>1.081100435859859</v>
      </c>
      <c r="P78" s="4">
        <v>1.0371631880324645</v>
      </c>
      <c r="Q78" s="4">
        <v>1.0467051183936567</v>
      </c>
      <c r="R78" s="4">
        <f t="shared" si="2"/>
        <v>1.0578850853560016</v>
      </c>
      <c r="S78" s="2">
        <f t="shared" si="8"/>
        <v>5.7885085356001564E-2</v>
      </c>
    </row>
    <row r="79" spans="12:27" x14ac:dyDescent="0.25">
      <c r="L79" s="11">
        <v>65</v>
      </c>
      <c r="M79" s="4">
        <v>1.1244541938860886</v>
      </c>
      <c r="N79" s="4">
        <v>1.2041935676969893</v>
      </c>
      <c r="O79" s="4">
        <v>1.2482027178666439</v>
      </c>
      <c r="P79" s="4">
        <v>1.2490213965416648</v>
      </c>
      <c r="Q79" s="4">
        <v>1.1422383266378298</v>
      </c>
      <c r="R79" s="4">
        <f t="shared" ref="R79:R142" si="14">SUMPRODUCT(M79:Q79,$M$8:$Q$8)</f>
        <v>1.196167482014296</v>
      </c>
      <c r="S79" s="2">
        <f t="shared" si="8"/>
        <v>0.19616748201429601</v>
      </c>
    </row>
    <row r="80" spans="12:27" x14ac:dyDescent="0.25">
      <c r="L80" s="11">
        <v>66</v>
      </c>
      <c r="M80" s="4">
        <v>1.2701187693671887</v>
      </c>
      <c r="N80" s="4">
        <v>1.1613889016645647</v>
      </c>
      <c r="O80" s="4">
        <v>1.1638648617036524</v>
      </c>
      <c r="P80" s="4">
        <v>1.1880762835849257</v>
      </c>
      <c r="Q80" s="4">
        <v>1.1007614061247972</v>
      </c>
      <c r="R80" s="4">
        <f t="shared" si="14"/>
        <v>1.1771485542283762</v>
      </c>
      <c r="S80" s="2">
        <f t="shared" ref="S80:S143" si="15">R80-1</f>
        <v>0.17714855422837616</v>
      </c>
    </row>
    <row r="81" spans="12:19" x14ac:dyDescent="0.25">
      <c r="L81" s="11">
        <v>67</v>
      </c>
      <c r="M81" s="4">
        <v>1.1432557089567359</v>
      </c>
      <c r="N81" s="4">
        <v>1.1816315109341435</v>
      </c>
      <c r="O81" s="4">
        <v>1.0983817383371859</v>
      </c>
      <c r="P81" s="4">
        <v>1.2063132309297926</v>
      </c>
      <c r="Q81" s="4">
        <v>1.1314504048822815</v>
      </c>
      <c r="R81" s="4">
        <f t="shared" si="14"/>
        <v>1.1493928749001205</v>
      </c>
      <c r="S81" s="2">
        <f t="shared" si="15"/>
        <v>0.14939287490012054</v>
      </c>
    </row>
    <row r="82" spans="12:19" x14ac:dyDescent="0.25">
      <c r="L82" s="11">
        <v>68</v>
      </c>
      <c r="M82" s="4">
        <v>2.063944919632219</v>
      </c>
      <c r="N82" s="4">
        <v>1.2203549654902694</v>
      </c>
      <c r="O82" s="4">
        <v>1.4970052700738821</v>
      </c>
      <c r="P82" s="4">
        <v>1.7563329631796187</v>
      </c>
      <c r="Q82" s="4">
        <v>1.345871320973437</v>
      </c>
      <c r="R82" s="4">
        <f t="shared" si="14"/>
        <v>1.5886856837513625</v>
      </c>
      <c r="S82" s="2">
        <f t="shared" si="15"/>
        <v>0.58868568375136254</v>
      </c>
    </row>
    <row r="83" spans="12:19" x14ac:dyDescent="0.25">
      <c r="L83" s="11">
        <v>69</v>
      </c>
      <c r="M83" s="4">
        <v>1.115000565274614</v>
      </c>
      <c r="N83" s="4">
        <v>1.0600757432986669</v>
      </c>
      <c r="O83" s="4">
        <v>1.2788076248262763</v>
      </c>
      <c r="P83" s="4">
        <v>1.0575077142002445</v>
      </c>
      <c r="Q83" s="4">
        <v>1.0714060350604537</v>
      </c>
      <c r="R83" s="4">
        <f t="shared" si="14"/>
        <v>1.1250626925533616</v>
      </c>
      <c r="S83" s="2">
        <f t="shared" si="15"/>
        <v>0.12506269255336155</v>
      </c>
    </row>
    <row r="84" spans="12:19" x14ac:dyDescent="0.25">
      <c r="L84" s="11">
        <v>70</v>
      </c>
      <c r="M84" s="4">
        <v>2.6070527782528647</v>
      </c>
      <c r="N84" s="4">
        <v>1.3580290578518377</v>
      </c>
      <c r="O84" s="4">
        <v>1.4523585479288339</v>
      </c>
      <c r="P84" s="4">
        <v>1.8572818439109551</v>
      </c>
      <c r="Q84" s="4">
        <v>1.4196126355493739</v>
      </c>
      <c r="R84" s="4">
        <f t="shared" si="14"/>
        <v>1.7426693408385781</v>
      </c>
      <c r="S84" s="2">
        <f t="shared" si="15"/>
        <v>0.74266934083857805</v>
      </c>
    </row>
    <row r="85" spans="12:19" x14ac:dyDescent="0.25">
      <c r="L85" s="11">
        <v>71</v>
      </c>
      <c r="M85" s="4">
        <v>1.4596214214748213</v>
      </c>
      <c r="N85" s="4">
        <v>1.0095631821019972</v>
      </c>
      <c r="O85" s="4">
        <v>1.2113389797599374</v>
      </c>
      <c r="P85" s="4">
        <v>1.2975932087304747</v>
      </c>
      <c r="Q85" s="4">
        <v>1.1578677421460377</v>
      </c>
      <c r="R85" s="4">
        <f t="shared" si="14"/>
        <v>1.235370614208855</v>
      </c>
      <c r="S85" s="2">
        <f t="shared" si="15"/>
        <v>0.23537061420885497</v>
      </c>
    </row>
    <row r="86" spans="12:19" x14ac:dyDescent="0.25">
      <c r="L86" s="11">
        <v>72</v>
      </c>
      <c r="M86" s="4">
        <v>1.1736678906892068</v>
      </c>
      <c r="N86" s="4">
        <v>1.1834145059532786</v>
      </c>
      <c r="O86" s="4">
        <v>1.2326342041647493</v>
      </c>
      <c r="P86" s="4">
        <v>1.2306996051652166</v>
      </c>
      <c r="Q86" s="4">
        <v>1.1619677186131809</v>
      </c>
      <c r="R86" s="4">
        <f t="shared" si="14"/>
        <v>1.1988820384373222</v>
      </c>
      <c r="S86" s="2">
        <f t="shared" si="15"/>
        <v>0.19888203843732222</v>
      </c>
    </row>
    <row r="87" spans="12:19" x14ac:dyDescent="0.25">
      <c r="L87" s="11">
        <v>73</v>
      </c>
      <c r="M87" s="4">
        <v>0.79758807627203954</v>
      </c>
      <c r="N87" s="4">
        <v>0.94198449791041261</v>
      </c>
      <c r="O87" s="4">
        <v>1.1180687555939754</v>
      </c>
      <c r="P87" s="4">
        <v>0.87100020458513061</v>
      </c>
      <c r="Q87" s="4">
        <v>0.96830051358781599</v>
      </c>
      <c r="R87" s="4">
        <f t="shared" si="14"/>
        <v>0.94614294894101647</v>
      </c>
      <c r="S87" s="2">
        <f t="shared" si="15"/>
        <v>-5.3857051058983529E-2</v>
      </c>
    </row>
    <row r="88" spans="12:19" x14ac:dyDescent="0.25">
      <c r="L88" s="11">
        <v>74</v>
      </c>
      <c r="M88" s="4">
        <v>1.0897022487659096</v>
      </c>
      <c r="N88" s="4">
        <v>1.1074215284419573</v>
      </c>
      <c r="O88" s="4">
        <v>1.0539480016568319</v>
      </c>
      <c r="P88" s="4">
        <v>1.0857960750013669</v>
      </c>
      <c r="Q88" s="4">
        <v>1.0652939125150653</v>
      </c>
      <c r="R88" s="4">
        <f t="shared" si="14"/>
        <v>1.0784029008364571</v>
      </c>
      <c r="S88" s="2">
        <f t="shared" si="15"/>
        <v>7.8402900836457068E-2</v>
      </c>
    </row>
    <row r="89" spans="12:19" x14ac:dyDescent="0.25">
      <c r="L89" s="11">
        <v>75</v>
      </c>
      <c r="M89" s="4">
        <v>1.5813606880397342</v>
      </c>
      <c r="N89" s="4">
        <v>1.2496755495442966</v>
      </c>
      <c r="O89" s="4">
        <v>1.3087720522134787</v>
      </c>
      <c r="P89" s="4">
        <v>1.477199601895415</v>
      </c>
      <c r="Q89" s="4">
        <v>1.2067034538273871</v>
      </c>
      <c r="R89" s="4">
        <f t="shared" si="14"/>
        <v>1.3680332090337559</v>
      </c>
      <c r="S89" s="2">
        <f t="shared" si="15"/>
        <v>0.36803320903375591</v>
      </c>
    </row>
    <row r="90" spans="12:19" x14ac:dyDescent="0.25">
      <c r="L90" s="11">
        <v>76</v>
      </c>
      <c r="M90" s="4">
        <v>1.4985994712993944</v>
      </c>
      <c r="N90" s="4">
        <v>1.4791837296566388</v>
      </c>
      <c r="O90" s="4">
        <v>1.4300496904264988</v>
      </c>
      <c r="P90" s="4">
        <v>1.440854046959507</v>
      </c>
      <c r="Q90" s="4">
        <v>1.1765584525345787</v>
      </c>
      <c r="R90" s="4">
        <f t="shared" si="14"/>
        <v>1.4042412475750781</v>
      </c>
      <c r="S90" s="2">
        <f t="shared" si="15"/>
        <v>0.40424124757507807</v>
      </c>
    </row>
    <row r="91" spans="12:19" x14ac:dyDescent="0.25">
      <c r="L91" s="11">
        <v>77</v>
      </c>
      <c r="M91" s="4">
        <v>2.116763045448276</v>
      </c>
      <c r="N91" s="4">
        <v>1.5043651215413589</v>
      </c>
      <c r="O91" s="4">
        <v>1.5899251536518826</v>
      </c>
      <c r="P91" s="4">
        <v>1.7074450081657184</v>
      </c>
      <c r="Q91" s="4">
        <v>1.3219640822507182</v>
      </c>
      <c r="R91" s="4">
        <f t="shared" si="14"/>
        <v>1.6522617567106948</v>
      </c>
      <c r="S91" s="2">
        <f t="shared" si="15"/>
        <v>0.65226175671069475</v>
      </c>
    </row>
    <row r="92" spans="12:19" x14ac:dyDescent="0.25">
      <c r="L92" s="11">
        <v>78</v>
      </c>
      <c r="M92" s="4">
        <v>0.82576716745269818</v>
      </c>
      <c r="N92" s="4">
        <v>1.0100762714646838</v>
      </c>
      <c r="O92" s="4">
        <v>1.1305793983198953</v>
      </c>
      <c r="P92" s="4">
        <v>0.89811723307677238</v>
      </c>
      <c r="Q92" s="4">
        <v>0.96085793803740427</v>
      </c>
      <c r="R92" s="4">
        <f t="shared" si="14"/>
        <v>0.96980448149744158</v>
      </c>
      <c r="S92" s="2">
        <f t="shared" si="15"/>
        <v>-3.0195518502558416E-2</v>
      </c>
    </row>
    <row r="93" spans="12:19" x14ac:dyDescent="0.25">
      <c r="L93" s="11">
        <v>79</v>
      </c>
      <c r="M93" s="4">
        <v>0.71204387232221344</v>
      </c>
      <c r="N93" s="4">
        <v>0.77405332989818387</v>
      </c>
      <c r="O93" s="4">
        <v>0.94802858214592023</v>
      </c>
      <c r="P93" s="4">
        <v>0.8130595692285586</v>
      </c>
      <c r="Q93" s="4">
        <v>0.97305383469449636</v>
      </c>
      <c r="R93" s="4">
        <f t="shared" si="14"/>
        <v>0.85043139121799749</v>
      </c>
      <c r="S93" s="2">
        <f t="shared" si="15"/>
        <v>-0.14956860878200251</v>
      </c>
    </row>
    <row r="94" spans="12:19" x14ac:dyDescent="0.25">
      <c r="L94" s="11">
        <v>80</v>
      </c>
      <c r="M94" s="4">
        <v>1.7498560431872316</v>
      </c>
      <c r="N94" s="4">
        <v>1.2189197858248504</v>
      </c>
      <c r="O94" s="4">
        <v>1.4320659245894505</v>
      </c>
      <c r="P94" s="4">
        <v>1.5045006321020105</v>
      </c>
      <c r="Q94" s="4">
        <v>1.2415246538604567</v>
      </c>
      <c r="R94" s="4">
        <f t="shared" si="14"/>
        <v>1.4383912199683961</v>
      </c>
      <c r="S94" s="2">
        <f t="shared" si="15"/>
        <v>0.43839121996839614</v>
      </c>
    </row>
    <row r="95" spans="12:19" x14ac:dyDescent="0.25">
      <c r="L95" s="11">
        <v>81</v>
      </c>
      <c r="M95" s="4">
        <v>0.4283707984840151</v>
      </c>
      <c r="N95" s="4">
        <v>0.55681773899229292</v>
      </c>
      <c r="O95" s="4">
        <v>0.80946492078646604</v>
      </c>
      <c r="P95" s="4">
        <v>0.55045469966176719</v>
      </c>
      <c r="Q95" s="4">
        <v>0.76133201929700145</v>
      </c>
      <c r="R95" s="4">
        <f t="shared" si="14"/>
        <v>0.63063193342201407</v>
      </c>
      <c r="S95" s="2">
        <f t="shared" si="15"/>
        <v>-0.36936806657798593</v>
      </c>
    </row>
    <row r="96" spans="12:19" x14ac:dyDescent="0.25">
      <c r="L96" s="11">
        <v>82</v>
      </c>
      <c r="M96" s="4">
        <v>0.67417318768219536</v>
      </c>
      <c r="N96" s="4">
        <v>0.94407590054332213</v>
      </c>
      <c r="O96" s="4">
        <v>1.0531143401870471</v>
      </c>
      <c r="P96" s="4">
        <v>0.82434175614955429</v>
      </c>
      <c r="Q96" s="4">
        <v>0.91240482533337097</v>
      </c>
      <c r="R96" s="4">
        <f t="shared" si="14"/>
        <v>0.88596106819984533</v>
      </c>
      <c r="S96" s="2">
        <f t="shared" si="15"/>
        <v>-0.11403893180015467</v>
      </c>
    </row>
    <row r="97" spans="12:19" x14ac:dyDescent="0.25">
      <c r="L97" s="11">
        <v>83</v>
      </c>
      <c r="M97" s="4">
        <v>1.5996538698735268</v>
      </c>
      <c r="N97" s="4">
        <v>1.2836106055224168</v>
      </c>
      <c r="O97" s="4">
        <v>1.2033050722322045</v>
      </c>
      <c r="P97" s="4">
        <v>1.4054393971649004</v>
      </c>
      <c r="Q97" s="4">
        <v>1.2143212831572274</v>
      </c>
      <c r="R97" s="4">
        <f t="shared" si="14"/>
        <v>1.3384582794356417</v>
      </c>
      <c r="S97" s="2">
        <f t="shared" si="15"/>
        <v>0.33845827943564166</v>
      </c>
    </row>
    <row r="98" spans="12:19" x14ac:dyDescent="0.25">
      <c r="L98" s="11">
        <v>84</v>
      </c>
      <c r="M98" s="4">
        <v>0.78587273221894294</v>
      </c>
      <c r="N98" s="4">
        <v>0.89236812250156061</v>
      </c>
      <c r="O98" s="4">
        <v>1.0622046269333334</v>
      </c>
      <c r="P98" s="4">
        <v>0.86007144617874887</v>
      </c>
      <c r="Q98" s="4">
        <v>0.95624421993764841</v>
      </c>
      <c r="R98" s="4">
        <f t="shared" si="14"/>
        <v>0.91784682745551194</v>
      </c>
      <c r="S98" s="2">
        <f t="shared" si="15"/>
        <v>-8.2153172544488062E-2</v>
      </c>
    </row>
    <row r="99" spans="12:19" x14ac:dyDescent="0.25">
      <c r="L99" s="11">
        <v>85</v>
      </c>
      <c r="M99" s="4">
        <v>1.145219426875604</v>
      </c>
      <c r="N99" s="4">
        <v>0.93052993244524262</v>
      </c>
      <c r="O99" s="4">
        <v>1.1011672004358799</v>
      </c>
      <c r="P99" s="4">
        <v>1.1250298025985461</v>
      </c>
      <c r="Q99" s="4">
        <v>1.0777203104833606</v>
      </c>
      <c r="R99" s="4">
        <f t="shared" si="14"/>
        <v>1.0828118315067814</v>
      </c>
      <c r="S99" s="2">
        <f t="shared" si="15"/>
        <v>8.2811831506781397E-2</v>
      </c>
    </row>
    <row r="100" spans="12:19" x14ac:dyDescent="0.25">
      <c r="L100" s="11">
        <v>86</v>
      </c>
      <c r="M100" s="4">
        <v>2.7792128645882803</v>
      </c>
      <c r="N100" s="4">
        <v>1.6741470169610213</v>
      </c>
      <c r="O100" s="4">
        <v>1.6531628721835219</v>
      </c>
      <c r="P100" s="4">
        <v>2.139803969695298</v>
      </c>
      <c r="Q100" s="4">
        <v>1.4623981688220433</v>
      </c>
      <c r="R100" s="4">
        <f t="shared" si="14"/>
        <v>1.9423918679724776</v>
      </c>
      <c r="S100" s="2">
        <f t="shared" si="15"/>
        <v>0.94239186797247765</v>
      </c>
    </row>
    <row r="101" spans="12:19" x14ac:dyDescent="0.25">
      <c r="L101" s="11">
        <v>87</v>
      </c>
      <c r="M101" s="4">
        <v>1.4082464448040297</v>
      </c>
      <c r="N101" s="4">
        <v>1.2786294929609652</v>
      </c>
      <c r="O101" s="4">
        <v>1.3102372450135771</v>
      </c>
      <c r="P101" s="4">
        <v>1.3509456146170504</v>
      </c>
      <c r="Q101" s="4">
        <v>1.15055695543767</v>
      </c>
      <c r="R101" s="4">
        <f t="shared" si="14"/>
        <v>1.3017707866013499</v>
      </c>
      <c r="S101" s="2">
        <f t="shared" si="15"/>
        <v>0.30177078660134993</v>
      </c>
    </row>
    <row r="102" spans="12:19" x14ac:dyDescent="0.25">
      <c r="L102" s="11">
        <v>88</v>
      </c>
      <c r="M102" s="4">
        <v>1.3512929102847089</v>
      </c>
      <c r="N102" s="4">
        <v>1.1133387894484659</v>
      </c>
      <c r="O102" s="4">
        <v>1.2810760349378858</v>
      </c>
      <c r="P102" s="4">
        <v>1.2820321950965703</v>
      </c>
      <c r="Q102" s="4">
        <v>1.1465108457937963</v>
      </c>
      <c r="R102" s="4">
        <f t="shared" si="14"/>
        <v>1.2419304804493658</v>
      </c>
      <c r="S102" s="2">
        <f t="shared" si="15"/>
        <v>0.24193048044936583</v>
      </c>
    </row>
    <row r="103" spans="12:19" x14ac:dyDescent="0.25">
      <c r="L103" s="11">
        <v>89</v>
      </c>
      <c r="M103" s="4">
        <v>0.81339876271859568</v>
      </c>
      <c r="N103" s="4">
        <v>1.179489756503467</v>
      </c>
      <c r="O103" s="4">
        <v>1.115833001321678</v>
      </c>
      <c r="P103" s="4">
        <v>0.96111951881103974</v>
      </c>
      <c r="Q103" s="4">
        <v>1.0305999187060704</v>
      </c>
      <c r="R103" s="4">
        <f t="shared" si="14"/>
        <v>1.017682639216795</v>
      </c>
      <c r="S103" s="2">
        <f t="shared" si="15"/>
        <v>1.7682639216795026E-2</v>
      </c>
    </row>
    <row r="104" spans="12:19" x14ac:dyDescent="0.25">
      <c r="L104" s="11">
        <v>90</v>
      </c>
      <c r="M104" s="4">
        <v>1.5420570484253835</v>
      </c>
      <c r="N104" s="4">
        <v>1.2355886979128452</v>
      </c>
      <c r="O104" s="4">
        <v>1.3087541673824223</v>
      </c>
      <c r="P104" s="4">
        <v>1.4044190428477012</v>
      </c>
      <c r="Q104" s="4">
        <v>1.1779282828206745</v>
      </c>
      <c r="R104" s="4">
        <f t="shared" si="14"/>
        <v>1.3373360732918005</v>
      </c>
      <c r="S104" s="2">
        <f t="shared" si="15"/>
        <v>0.33733607329180049</v>
      </c>
    </row>
    <row r="105" spans="12:19" x14ac:dyDescent="0.25">
      <c r="L105" s="11">
        <v>91</v>
      </c>
      <c r="M105" s="4">
        <v>2.0048626141445296</v>
      </c>
      <c r="N105" s="4">
        <v>1.262715977949062</v>
      </c>
      <c r="O105" s="4">
        <v>1.5598260360463894</v>
      </c>
      <c r="P105" s="4">
        <v>1.6932198368829594</v>
      </c>
      <c r="Q105" s="4">
        <v>1.3204272662019063</v>
      </c>
      <c r="R105" s="4">
        <f t="shared" si="14"/>
        <v>1.5808684514642533</v>
      </c>
      <c r="S105" s="2">
        <f t="shared" si="15"/>
        <v>0.58086845146425325</v>
      </c>
    </row>
    <row r="106" spans="12:19" x14ac:dyDescent="0.25">
      <c r="L106" s="11">
        <v>92</v>
      </c>
      <c r="M106" s="4">
        <v>0.57303766707526682</v>
      </c>
      <c r="N106" s="4">
        <v>0.92065946770719587</v>
      </c>
      <c r="O106" s="4">
        <v>0.8521797822128927</v>
      </c>
      <c r="P106" s="4">
        <v>0.69728589608264957</v>
      </c>
      <c r="Q106" s="4">
        <v>0.85487498251467409</v>
      </c>
      <c r="R106" s="4">
        <f t="shared" si="14"/>
        <v>0.77653220604043027</v>
      </c>
      <c r="S106" s="2">
        <f t="shared" si="15"/>
        <v>-0.22346779395956973</v>
      </c>
    </row>
    <row r="107" spans="12:19" x14ac:dyDescent="0.25">
      <c r="L107" s="11">
        <v>93</v>
      </c>
      <c r="M107" s="4">
        <v>1.0967529994707663</v>
      </c>
      <c r="N107" s="4">
        <v>1.0189767407984087</v>
      </c>
      <c r="O107" s="4">
        <v>0.97941280351070414</v>
      </c>
      <c r="P107" s="4">
        <v>1.0383746575817216</v>
      </c>
      <c r="Q107" s="4">
        <v>1.0656184623845308</v>
      </c>
      <c r="R107" s="4">
        <f t="shared" si="14"/>
        <v>1.0379704099583724</v>
      </c>
      <c r="S107" s="2">
        <f t="shared" si="15"/>
        <v>3.797040995837242E-2</v>
      </c>
    </row>
    <row r="108" spans="12:19" x14ac:dyDescent="0.25">
      <c r="L108" s="11">
        <v>94</v>
      </c>
      <c r="M108" s="4">
        <v>1.3062412718193199</v>
      </c>
      <c r="N108" s="4">
        <v>1.0962855884600144</v>
      </c>
      <c r="O108" s="4">
        <v>1.1511268109934718</v>
      </c>
      <c r="P108" s="4">
        <v>1.2039544437573597</v>
      </c>
      <c r="Q108" s="4">
        <v>1.1088013379569328</v>
      </c>
      <c r="R108" s="4">
        <f t="shared" si="14"/>
        <v>1.1756229437735626</v>
      </c>
      <c r="S108" s="2">
        <f t="shared" si="15"/>
        <v>0.17562294377356258</v>
      </c>
    </row>
    <row r="109" spans="12:19" x14ac:dyDescent="0.25">
      <c r="L109" s="11">
        <v>95</v>
      </c>
      <c r="M109" s="4">
        <v>0.89192725542574069</v>
      </c>
      <c r="N109" s="4">
        <v>1.1735597224140764</v>
      </c>
      <c r="O109" s="4">
        <v>1.2154709014356555</v>
      </c>
      <c r="P109" s="4">
        <v>1.0022223832617292</v>
      </c>
      <c r="Q109" s="4">
        <v>1.0094051151423182</v>
      </c>
      <c r="R109" s="4">
        <f t="shared" si="14"/>
        <v>1.060500419081625</v>
      </c>
      <c r="S109" s="2">
        <f t="shared" si="15"/>
        <v>6.0500419081624957E-2</v>
      </c>
    </row>
    <row r="110" spans="12:19" x14ac:dyDescent="0.25">
      <c r="L110" s="11">
        <v>96</v>
      </c>
      <c r="M110" s="4">
        <v>1.9413368350389428</v>
      </c>
      <c r="N110" s="4">
        <v>1.3634829612533739</v>
      </c>
      <c r="O110" s="4">
        <v>1.4692519898569323</v>
      </c>
      <c r="P110" s="4">
        <v>1.6247173977475264</v>
      </c>
      <c r="Q110" s="4">
        <v>1.3155058673988089</v>
      </c>
      <c r="R110" s="4">
        <f t="shared" si="14"/>
        <v>1.5476631358500266</v>
      </c>
      <c r="S110" s="2">
        <f t="shared" si="15"/>
        <v>0.54766313585002657</v>
      </c>
    </row>
    <row r="111" spans="12:19" x14ac:dyDescent="0.25">
      <c r="L111" s="11">
        <v>97</v>
      </c>
      <c r="M111" s="4">
        <v>3.5121934482608039</v>
      </c>
      <c r="N111" s="4">
        <v>1.5252464438382491</v>
      </c>
      <c r="O111" s="4">
        <v>1.5555191563444875</v>
      </c>
      <c r="P111" s="4">
        <v>2.3553546127953906</v>
      </c>
      <c r="Q111" s="4">
        <v>1.5551448770044707</v>
      </c>
      <c r="R111" s="4">
        <f t="shared" si="14"/>
        <v>2.1025409343458072</v>
      </c>
      <c r="S111" s="2">
        <f t="shared" si="15"/>
        <v>1.1025409343458072</v>
      </c>
    </row>
    <row r="112" spans="12:19" x14ac:dyDescent="0.25">
      <c r="L112" s="11">
        <v>98</v>
      </c>
      <c r="M112" s="4">
        <v>0.72372556233298302</v>
      </c>
      <c r="N112" s="4">
        <v>0.90569508815988331</v>
      </c>
      <c r="O112" s="4">
        <v>0.94324239186966508</v>
      </c>
      <c r="P112" s="4">
        <v>0.84402823089711387</v>
      </c>
      <c r="Q112" s="4">
        <v>0.93756586134082598</v>
      </c>
      <c r="R112" s="4">
        <f t="shared" si="14"/>
        <v>0.87221785599838386</v>
      </c>
      <c r="S112" s="2">
        <f t="shared" si="15"/>
        <v>-0.12778214400161614</v>
      </c>
    </row>
    <row r="113" spans="12:19" x14ac:dyDescent="0.25">
      <c r="L113" s="11">
        <v>99</v>
      </c>
      <c r="M113" s="4">
        <v>4.0312040722276823</v>
      </c>
      <c r="N113" s="4">
        <v>1.9251779138935821</v>
      </c>
      <c r="O113" s="4">
        <v>1.5888441378868141</v>
      </c>
      <c r="P113" s="4">
        <v>2.7317218564912662</v>
      </c>
      <c r="Q113" s="4">
        <v>1.633232346592155</v>
      </c>
      <c r="R113" s="4">
        <f t="shared" si="14"/>
        <v>2.3703889745208344</v>
      </c>
      <c r="S113" s="2">
        <f t="shared" si="15"/>
        <v>1.3703889745208344</v>
      </c>
    </row>
    <row r="114" spans="12:19" x14ac:dyDescent="0.25">
      <c r="L114" s="11">
        <v>100</v>
      </c>
      <c r="M114" s="4">
        <v>1.7531959326256934</v>
      </c>
      <c r="N114" s="4">
        <v>1.314573449670128</v>
      </c>
      <c r="O114" s="4">
        <v>1.4335805024099977</v>
      </c>
      <c r="P114" s="4">
        <v>1.6323613854481023</v>
      </c>
      <c r="Q114" s="4">
        <v>1.2550504395833664</v>
      </c>
      <c r="R114" s="4">
        <f t="shared" si="14"/>
        <v>1.4838579515768191</v>
      </c>
      <c r="S114" s="2">
        <f t="shared" si="15"/>
        <v>0.4838579515768191</v>
      </c>
    </row>
    <row r="115" spans="12:19" x14ac:dyDescent="0.25">
      <c r="L115" s="11">
        <v>101</v>
      </c>
      <c r="M115" s="4">
        <v>1.7193085637775443</v>
      </c>
      <c r="N115" s="4">
        <v>1.1332616774073916</v>
      </c>
      <c r="O115" s="4">
        <v>1.2766699368266912</v>
      </c>
      <c r="P115" s="4">
        <v>1.4140444169275717</v>
      </c>
      <c r="Q115" s="4">
        <v>1.2351256690565739</v>
      </c>
      <c r="R115" s="4">
        <f t="shared" si="14"/>
        <v>1.361376800993044</v>
      </c>
      <c r="S115" s="2">
        <f t="shared" si="15"/>
        <v>0.36137680099304403</v>
      </c>
    </row>
    <row r="116" spans="12:19" x14ac:dyDescent="0.25">
      <c r="L116" s="11">
        <v>102</v>
      </c>
      <c r="M116" s="4">
        <v>0.97230152053461605</v>
      </c>
      <c r="N116" s="4">
        <v>1.1867462020548272</v>
      </c>
      <c r="O116" s="4">
        <v>1.2145836591151848</v>
      </c>
      <c r="P116" s="4">
        <v>1.0257039359997626</v>
      </c>
      <c r="Q116" s="4">
        <v>1.0314490544646684</v>
      </c>
      <c r="R116" s="4">
        <f t="shared" si="14"/>
        <v>1.087444054057201</v>
      </c>
      <c r="S116" s="2">
        <f t="shared" si="15"/>
        <v>8.7444054057201015E-2</v>
      </c>
    </row>
    <row r="117" spans="12:19" x14ac:dyDescent="0.25">
      <c r="L117" s="11">
        <v>103</v>
      </c>
      <c r="M117" s="4">
        <v>1.579352881388298</v>
      </c>
      <c r="N117" s="4">
        <v>1.4195706105557984</v>
      </c>
      <c r="O117" s="4">
        <v>1.4641007474005259</v>
      </c>
      <c r="P117" s="4">
        <v>1.506200987726088</v>
      </c>
      <c r="Q117" s="4">
        <v>1.2203667378016507</v>
      </c>
      <c r="R117" s="4">
        <f t="shared" si="14"/>
        <v>1.4408457467116387</v>
      </c>
      <c r="S117" s="2">
        <f t="shared" si="15"/>
        <v>0.44084574671163868</v>
      </c>
    </row>
    <row r="118" spans="12:19" x14ac:dyDescent="0.25">
      <c r="L118" s="11">
        <v>104</v>
      </c>
      <c r="M118" s="4">
        <v>1.7440875114034018</v>
      </c>
      <c r="N118" s="4">
        <v>1.3054777014951828</v>
      </c>
      <c r="O118" s="4">
        <v>1.4579239623097366</v>
      </c>
      <c r="P118" s="4">
        <v>1.4189502942908594</v>
      </c>
      <c r="Q118" s="4">
        <v>1.2567060443547557</v>
      </c>
      <c r="R118" s="4">
        <f t="shared" si="14"/>
        <v>1.4426355523113599</v>
      </c>
      <c r="S118" s="2">
        <f t="shared" si="15"/>
        <v>0.44263555231135987</v>
      </c>
    </row>
    <row r="119" spans="12:19" x14ac:dyDescent="0.25">
      <c r="L119" s="11">
        <v>105</v>
      </c>
      <c r="M119" s="4">
        <v>1.8095995123621231</v>
      </c>
      <c r="N119" s="4">
        <v>1.3573489606177567</v>
      </c>
      <c r="O119" s="4">
        <v>1.28136694068121</v>
      </c>
      <c r="P119" s="4">
        <v>1.4112230444793832</v>
      </c>
      <c r="Q119" s="4">
        <v>1.2485878487756348</v>
      </c>
      <c r="R119" s="4">
        <f t="shared" si="14"/>
        <v>1.418390661248556</v>
      </c>
      <c r="S119" s="2">
        <f t="shared" si="15"/>
        <v>0.41839066124855595</v>
      </c>
    </row>
    <row r="120" spans="12:19" x14ac:dyDescent="0.25">
      <c r="L120" s="11">
        <v>106</v>
      </c>
      <c r="M120" s="4">
        <v>1.5737108807520452</v>
      </c>
      <c r="N120" s="4">
        <v>1.0912404248945462</v>
      </c>
      <c r="O120" s="4">
        <v>1.2186594581160775</v>
      </c>
      <c r="P120" s="4">
        <v>1.3409744891703967</v>
      </c>
      <c r="Q120" s="4">
        <v>1.1963639408564355</v>
      </c>
      <c r="R120" s="4">
        <f t="shared" si="14"/>
        <v>1.2892738033099915</v>
      </c>
      <c r="S120" s="2">
        <f t="shared" si="15"/>
        <v>0.28927380330999153</v>
      </c>
    </row>
    <row r="121" spans="12:19" x14ac:dyDescent="0.25">
      <c r="L121" s="11">
        <v>107</v>
      </c>
      <c r="M121" s="4">
        <v>2.7109790931968405</v>
      </c>
      <c r="N121" s="4">
        <v>1.5645291297083175</v>
      </c>
      <c r="O121" s="4">
        <v>1.4014910252967052</v>
      </c>
      <c r="P121" s="4">
        <v>2.0701462274033453</v>
      </c>
      <c r="Q121" s="4">
        <v>1.4341486774873151</v>
      </c>
      <c r="R121" s="4">
        <f t="shared" si="14"/>
        <v>1.8310288282234513</v>
      </c>
      <c r="S121" s="2">
        <f t="shared" si="15"/>
        <v>0.83102882822345125</v>
      </c>
    </row>
    <row r="122" spans="12:19" x14ac:dyDescent="0.25">
      <c r="L122" s="11">
        <v>108</v>
      </c>
      <c r="M122" s="4">
        <v>0.70556475164430554</v>
      </c>
      <c r="N122" s="4">
        <v>0.96078025938826905</v>
      </c>
      <c r="O122" s="4">
        <v>0.84654117193742906</v>
      </c>
      <c r="P122" s="4">
        <v>0.84266669632680213</v>
      </c>
      <c r="Q122" s="4">
        <v>0.96533411334383001</v>
      </c>
      <c r="R122" s="4">
        <f t="shared" si="14"/>
        <v>0.85942880399459565</v>
      </c>
      <c r="S122" s="2">
        <f t="shared" si="15"/>
        <v>-0.14057119600540435</v>
      </c>
    </row>
    <row r="123" spans="12:19" x14ac:dyDescent="0.25">
      <c r="L123" s="11">
        <v>109</v>
      </c>
      <c r="M123" s="4">
        <v>1.4065809274129792</v>
      </c>
      <c r="N123" s="4">
        <v>1.1799027261054036</v>
      </c>
      <c r="O123" s="4">
        <v>1.2459474237230224</v>
      </c>
      <c r="P123" s="4">
        <v>1.2721743324517998</v>
      </c>
      <c r="Q123" s="4">
        <v>1.1384981837447037</v>
      </c>
      <c r="R123" s="4">
        <f t="shared" si="14"/>
        <v>1.2515224336672741</v>
      </c>
      <c r="S123" s="2">
        <f t="shared" si="15"/>
        <v>0.25152243366727411</v>
      </c>
    </row>
    <row r="124" spans="12:19" x14ac:dyDescent="0.25">
      <c r="L124" s="11">
        <v>110</v>
      </c>
      <c r="M124" s="4">
        <v>1.4529719505275334</v>
      </c>
      <c r="N124" s="4">
        <v>1.2663294904360218</v>
      </c>
      <c r="O124" s="4">
        <v>1.288014314508142</v>
      </c>
      <c r="P124" s="4">
        <v>1.303373041104241</v>
      </c>
      <c r="Q124" s="4">
        <v>1.1809036728753965</v>
      </c>
      <c r="R124" s="4">
        <f t="shared" si="14"/>
        <v>1.2993899891062333</v>
      </c>
      <c r="S124" s="2">
        <f t="shared" si="15"/>
        <v>0.29938998910623327</v>
      </c>
    </row>
    <row r="125" spans="12:19" x14ac:dyDescent="0.25">
      <c r="L125" s="11">
        <v>111</v>
      </c>
      <c r="M125" s="4">
        <v>1.893527923968308</v>
      </c>
      <c r="N125" s="4">
        <v>1.2695663266633781</v>
      </c>
      <c r="O125" s="4">
        <v>1.3202337965494433</v>
      </c>
      <c r="P125" s="4">
        <v>1.6130745686553116</v>
      </c>
      <c r="Q125" s="4">
        <v>1.3000522526773008</v>
      </c>
      <c r="R125" s="4">
        <f t="shared" si="14"/>
        <v>1.4819679573895961</v>
      </c>
      <c r="S125" s="2">
        <f t="shared" si="15"/>
        <v>0.48196795738959608</v>
      </c>
    </row>
    <row r="126" spans="12:19" x14ac:dyDescent="0.25">
      <c r="L126" s="11">
        <v>112</v>
      </c>
      <c r="M126" s="4">
        <v>1.6347709388091394</v>
      </c>
      <c r="N126" s="4">
        <v>1.4167475583041862</v>
      </c>
      <c r="O126" s="4">
        <v>1.3564373773771614</v>
      </c>
      <c r="P126" s="4">
        <v>1.4154579885297232</v>
      </c>
      <c r="Q126" s="4">
        <v>1.2148182426480645</v>
      </c>
      <c r="R126" s="4">
        <f t="shared" si="14"/>
        <v>1.4056786113089323</v>
      </c>
      <c r="S126" s="2">
        <f t="shared" si="15"/>
        <v>0.40567861130893235</v>
      </c>
    </row>
    <row r="127" spans="12:19" x14ac:dyDescent="0.25">
      <c r="L127" s="11">
        <v>113</v>
      </c>
      <c r="M127" s="4">
        <v>1.4725528477351217</v>
      </c>
      <c r="N127" s="4">
        <v>1.1312211552143792</v>
      </c>
      <c r="O127" s="4">
        <v>1.176118737231181</v>
      </c>
      <c r="P127" s="4">
        <v>1.3405637637494123</v>
      </c>
      <c r="Q127" s="4">
        <v>1.1743375988600575</v>
      </c>
      <c r="R127" s="4">
        <f t="shared" si="14"/>
        <v>1.261124802500738</v>
      </c>
      <c r="S127" s="2">
        <f t="shared" si="15"/>
        <v>0.261124802500738</v>
      </c>
    </row>
    <row r="128" spans="12:19" x14ac:dyDescent="0.25">
      <c r="L128" s="11">
        <v>114</v>
      </c>
      <c r="M128" s="4">
        <v>0.65511982455761952</v>
      </c>
      <c r="N128" s="4">
        <v>0.91842376748530896</v>
      </c>
      <c r="O128" s="4">
        <v>1.0388788118319114</v>
      </c>
      <c r="P128" s="4">
        <v>0.79460813098537908</v>
      </c>
      <c r="Q128" s="4">
        <v>0.87801422841987031</v>
      </c>
      <c r="R128" s="4">
        <f t="shared" si="14"/>
        <v>0.86180098111383796</v>
      </c>
      <c r="S128" s="2">
        <f t="shared" si="15"/>
        <v>-0.13819901888616204</v>
      </c>
    </row>
    <row r="129" spans="12:19" x14ac:dyDescent="0.25">
      <c r="L129" s="11">
        <v>115</v>
      </c>
      <c r="M129" s="4">
        <v>3.247448421621407</v>
      </c>
      <c r="N129" s="4">
        <v>1.6047789450998509</v>
      </c>
      <c r="O129" s="4">
        <v>1.3704432307261909</v>
      </c>
      <c r="P129" s="4">
        <v>2.1743656684452226</v>
      </c>
      <c r="Q129" s="4">
        <v>1.4833383949744354</v>
      </c>
      <c r="R129" s="4">
        <f t="shared" si="14"/>
        <v>1.9671929225701148</v>
      </c>
      <c r="S129" s="2">
        <f t="shared" si="15"/>
        <v>0.9671929225701148</v>
      </c>
    </row>
    <row r="130" spans="12:19" x14ac:dyDescent="0.25">
      <c r="L130" s="11">
        <v>116</v>
      </c>
      <c r="M130" s="4">
        <v>4.0863310599098623</v>
      </c>
      <c r="N130" s="4">
        <v>1.705780790835411</v>
      </c>
      <c r="O130" s="4">
        <v>1.7117938327214504</v>
      </c>
      <c r="P130" s="4">
        <v>2.4659995039625131</v>
      </c>
      <c r="Q130" s="4">
        <v>1.6662550073009146</v>
      </c>
      <c r="R130" s="4">
        <f t="shared" si="14"/>
        <v>2.327023700886393</v>
      </c>
      <c r="S130" s="2">
        <f t="shared" si="15"/>
        <v>1.327023700886393</v>
      </c>
    </row>
    <row r="131" spans="12:19" x14ac:dyDescent="0.25">
      <c r="L131" s="11">
        <v>117</v>
      </c>
      <c r="M131" s="4">
        <v>1.4267424106239537</v>
      </c>
      <c r="N131" s="4">
        <v>1.1548383328574452</v>
      </c>
      <c r="O131" s="4">
        <v>1.1318692577162008</v>
      </c>
      <c r="P131" s="4">
        <v>1.2861903288145562</v>
      </c>
      <c r="Q131" s="4">
        <v>1.1656884641783649</v>
      </c>
      <c r="R131" s="4">
        <f t="shared" si="14"/>
        <v>1.232326812508409</v>
      </c>
      <c r="S131" s="2">
        <f t="shared" si="15"/>
        <v>0.23232681250840903</v>
      </c>
    </row>
    <row r="132" spans="12:19" x14ac:dyDescent="0.25">
      <c r="L132" s="11">
        <v>118</v>
      </c>
      <c r="M132" s="4">
        <v>1.3978114236822476</v>
      </c>
      <c r="N132" s="4">
        <v>1.1598799319989512</v>
      </c>
      <c r="O132" s="4">
        <v>1.1282991524573769</v>
      </c>
      <c r="P132" s="4">
        <v>1.2319026614041979</v>
      </c>
      <c r="Q132" s="4">
        <v>1.1463306025899953</v>
      </c>
      <c r="R132" s="4">
        <f t="shared" si="14"/>
        <v>1.2115621293471224</v>
      </c>
      <c r="S132" s="2">
        <f t="shared" si="15"/>
        <v>0.21156212934712237</v>
      </c>
    </row>
    <row r="133" spans="12:19" x14ac:dyDescent="0.25">
      <c r="L133" s="11">
        <v>119</v>
      </c>
      <c r="M133" s="4">
        <v>1.560759840446466</v>
      </c>
      <c r="N133" s="4">
        <v>1.3359319756451573</v>
      </c>
      <c r="O133" s="4">
        <v>1.2803163456239708</v>
      </c>
      <c r="P133" s="4">
        <v>1.4025739625378557</v>
      </c>
      <c r="Q133" s="4">
        <v>1.1812295270967907</v>
      </c>
      <c r="R133" s="4">
        <f t="shared" si="14"/>
        <v>1.3505964550904395</v>
      </c>
      <c r="S133" s="2">
        <f t="shared" si="15"/>
        <v>0.35059645509043946</v>
      </c>
    </row>
    <row r="134" spans="12:19" x14ac:dyDescent="0.25">
      <c r="L134" s="11">
        <v>120</v>
      </c>
      <c r="M134" s="4">
        <v>1.8631875261317208</v>
      </c>
      <c r="N134" s="4">
        <v>1.410220372227756</v>
      </c>
      <c r="O134" s="4">
        <v>1.236630727810031</v>
      </c>
      <c r="P134" s="4">
        <v>1.5927176764190125</v>
      </c>
      <c r="Q134" s="4">
        <v>1.2914385140388152</v>
      </c>
      <c r="R134" s="4">
        <f t="shared" si="14"/>
        <v>1.4726328815525271</v>
      </c>
      <c r="S134" s="2">
        <f t="shared" si="15"/>
        <v>0.47263288155252714</v>
      </c>
    </row>
    <row r="135" spans="12:19" x14ac:dyDescent="0.25">
      <c r="L135" s="11">
        <v>121</v>
      </c>
      <c r="M135" s="4">
        <v>0.79517069176556121</v>
      </c>
      <c r="N135" s="4">
        <v>0.96093643828493358</v>
      </c>
      <c r="O135" s="4">
        <v>0.90393179175783123</v>
      </c>
      <c r="P135" s="4">
        <v>0.8795012968700634</v>
      </c>
      <c r="Q135" s="4">
        <v>1.0101616136078628</v>
      </c>
      <c r="R135" s="4">
        <f t="shared" si="14"/>
        <v>0.90728651639609481</v>
      </c>
      <c r="S135" s="2">
        <f t="shared" si="15"/>
        <v>-9.2713483603905189E-2</v>
      </c>
    </row>
    <row r="136" spans="12:19" x14ac:dyDescent="0.25">
      <c r="L136" s="11">
        <v>122</v>
      </c>
      <c r="M136" s="4">
        <v>1.767212328899088</v>
      </c>
      <c r="N136" s="4">
        <v>1.2599251969155658</v>
      </c>
      <c r="O136" s="4">
        <v>1.3182214881487533</v>
      </c>
      <c r="P136" s="4">
        <v>1.5169366923941925</v>
      </c>
      <c r="Q136" s="4">
        <v>1.2446915350725472</v>
      </c>
      <c r="R136" s="4">
        <f t="shared" si="14"/>
        <v>1.4242967854825739</v>
      </c>
      <c r="S136" s="2">
        <f t="shared" si="15"/>
        <v>0.42429678548257388</v>
      </c>
    </row>
    <row r="137" spans="12:19" x14ac:dyDescent="0.25">
      <c r="L137" s="11">
        <v>123</v>
      </c>
      <c r="M137" s="4">
        <v>1.1662467459550945</v>
      </c>
      <c r="N137" s="4">
        <v>1.1279737786078674</v>
      </c>
      <c r="O137" s="4">
        <v>1.1731794075106323</v>
      </c>
      <c r="P137" s="4">
        <v>1.1277738361035812</v>
      </c>
      <c r="Q137" s="4">
        <v>1.0922543854918161</v>
      </c>
      <c r="R137" s="4">
        <f t="shared" si="14"/>
        <v>1.1393628582972437</v>
      </c>
      <c r="S137" s="2">
        <f t="shared" si="15"/>
        <v>0.13936285829724371</v>
      </c>
    </row>
    <row r="138" spans="12:19" x14ac:dyDescent="0.25">
      <c r="L138" s="11">
        <v>124</v>
      </c>
      <c r="M138" s="4">
        <v>1.1639974368429644</v>
      </c>
      <c r="N138" s="4">
        <v>1.0366070786441703</v>
      </c>
      <c r="O138" s="4">
        <v>1.1826844052670757</v>
      </c>
      <c r="P138" s="4">
        <v>1.1322375922466525</v>
      </c>
      <c r="Q138" s="4">
        <v>1.079793648441473</v>
      </c>
      <c r="R138" s="4">
        <f t="shared" si="14"/>
        <v>1.125008764438947</v>
      </c>
      <c r="S138" s="2">
        <f t="shared" si="15"/>
        <v>0.12500876443894704</v>
      </c>
    </row>
    <row r="139" spans="12:19" x14ac:dyDescent="0.25">
      <c r="L139" s="11">
        <v>125</v>
      </c>
      <c r="M139" s="4">
        <v>1.6663004300294926</v>
      </c>
      <c r="N139" s="4">
        <v>1.3679447271174303</v>
      </c>
      <c r="O139" s="4">
        <v>1.2000776279903218</v>
      </c>
      <c r="P139" s="4">
        <v>1.5419054214013428</v>
      </c>
      <c r="Q139" s="4">
        <v>1.2769312704606708</v>
      </c>
      <c r="R139" s="4">
        <f t="shared" si="14"/>
        <v>1.4048372236572926</v>
      </c>
      <c r="S139" s="2">
        <f t="shared" si="15"/>
        <v>0.40483722365729258</v>
      </c>
    </row>
    <row r="140" spans="12:19" x14ac:dyDescent="0.25">
      <c r="L140" s="11">
        <v>126</v>
      </c>
      <c r="M140" s="4">
        <v>2.6510318049338846</v>
      </c>
      <c r="N140" s="4">
        <v>1.437379281041671</v>
      </c>
      <c r="O140" s="4">
        <v>1.5454123425623956</v>
      </c>
      <c r="P140" s="4">
        <v>1.9255329898407116</v>
      </c>
      <c r="Q140" s="4">
        <v>1.419889330748727</v>
      </c>
      <c r="R140" s="4">
        <f t="shared" si="14"/>
        <v>1.8005877846983527</v>
      </c>
      <c r="S140" s="2">
        <f t="shared" si="15"/>
        <v>0.80058778469835268</v>
      </c>
    </row>
    <row r="141" spans="12:19" x14ac:dyDescent="0.25">
      <c r="L141" s="11">
        <v>127</v>
      </c>
      <c r="M141" s="4">
        <v>4.272195666836887</v>
      </c>
      <c r="N141" s="4">
        <v>1.8378922663140327</v>
      </c>
      <c r="O141" s="4">
        <v>1.9677862003959978</v>
      </c>
      <c r="P141" s="4">
        <v>2.7782715687547048</v>
      </c>
      <c r="Q141" s="4">
        <v>1.7001125408726285</v>
      </c>
      <c r="R141" s="4">
        <f t="shared" si="14"/>
        <v>2.5175327814744293</v>
      </c>
      <c r="S141" s="2">
        <f t="shared" si="15"/>
        <v>1.5175327814744293</v>
      </c>
    </row>
    <row r="142" spans="12:19" x14ac:dyDescent="0.25">
      <c r="L142" s="11">
        <v>128</v>
      </c>
      <c r="M142" s="4">
        <v>1.6980470921427027</v>
      </c>
      <c r="N142" s="4">
        <v>1.3563405324331379</v>
      </c>
      <c r="O142" s="4">
        <v>1.4335931868105729</v>
      </c>
      <c r="P142" s="4">
        <v>1.4840706268957613</v>
      </c>
      <c r="Q142" s="4">
        <v>1.2336286156068452</v>
      </c>
      <c r="R142" s="4">
        <f t="shared" si="14"/>
        <v>1.4448351541404705</v>
      </c>
      <c r="S142" s="2">
        <f t="shared" si="15"/>
        <v>0.44483515414047048</v>
      </c>
    </row>
    <row r="143" spans="12:19" x14ac:dyDescent="0.25">
      <c r="L143" s="11">
        <v>129</v>
      </c>
      <c r="M143" s="4">
        <v>1.1878607693383931</v>
      </c>
      <c r="N143" s="4">
        <v>0.95915653013088364</v>
      </c>
      <c r="O143" s="4">
        <v>1.2541968453692125</v>
      </c>
      <c r="P143" s="4">
        <v>1.1474865887855343</v>
      </c>
      <c r="Q143" s="4">
        <v>1.0896317833519142</v>
      </c>
      <c r="R143" s="4">
        <f t="shared" ref="R143:R206" si="16">SUMPRODUCT(M143:Q143,$M$8:$Q$8)</f>
        <v>1.1395023625546401</v>
      </c>
      <c r="S143" s="2">
        <f t="shared" si="15"/>
        <v>0.1395023625546401</v>
      </c>
    </row>
    <row r="144" spans="12:19" x14ac:dyDescent="0.25">
      <c r="L144" s="11">
        <v>130</v>
      </c>
      <c r="M144" s="4">
        <v>1.1248944768251863</v>
      </c>
      <c r="N144" s="4">
        <v>1.1038626091429964</v>
      </c>
      <c r="O144" s="4">
        <v>1.1938856210938413</v>
      </c>
      <c r="P144" s="4">
        <v>1.1550153359044333</v>
      </c>
      <c r="Q144" s="4">
        <v>1.0703653744289119</v>
      </c>
      <c r="R144" s="4">
        <f t="shared" si="16"/>
        <v>1.1336437930190664</v>
      </c>
      <c r="S144" s="2">
        <f t="shared" ref="S144:S207" si="17">R144-1</f>
        <v>0.13364379301906637</v>
      </c>
    </row>
    <row r="145" spans="12:19" x14ac:dyDescent="0.25">
      <c r="L145" s="11">
        <v>131</v>
      </c>
      <c r="M145" s="4">
        <v>2.0934955601934444</v>
      </c>
      <c r="N145" s="4">
        <v>1.3008650220129139</v>
      </c>
      <c r="O145" s="4">
        <v>1.3938252148591295</v>
      </c>
      <c r="P145" s="4">
        <v>1.7707858824688854</v>
      </c>
      <c r="Q145" s="4">
        <v>1.3585942737363945</v>
      </c>
      <c r="R145" s="4">
        <f t="shared" si="16"/>
        <v>1.5881874205251543</v>
      </c>
      <c r="S145" s="2">
        <f t="shared" si="17"/>
        <v>0.58818742052515427</v>
      </c>
    </row>
    <row r="146" spans="12:19" x14ac:dyDescent="0.25">
      <c r="L146" s="11">
        <v>132</v>
      </c>
      <c r="M146" s="4">
        <v>1.1855086168168596</v>
      </c>
      <c r="N146" s="4">
        <v>1.2305788847059553</v>
      </c>
      <c r="O146" s="4">
        <v>1.2751015103043477</v>
      </c>
      <c r="P146" s="4">
        <v>1.2454038149525015</v>
      </c>
      <c r="Q146" s="4">
        <v>1.1682207163144667</v>
      </c>
      <c r="R146" s="4">
        <f t="shared" si="16"/>
        <v>1.223244057511605</v>
      </c>
      <c r="S146" s="2">
        <f t="shared" si="17"/>
        <v>0.22324405751160503</v>
      </c>
    </row>
    <row r="147" spans="12:19" x14ac:dyDescent="0.25">
      <c r="L147" s="11">
        <v>133</v>
      </c>
      <c r="M147" s="4">
        <v>1.168653967161573</v>
      </c>
      <c r="N147" s="4">
        <v>1.0967113259593126</v>
      </c>
      <c r="O147" s="4">
        <v>1.1652912864003147</v>
      </c>
      <c r="P147" s="4">
        <v>1.170476339395627</v>
      </c>
      <c r="Q147" s="4">
        <v>1.090803815238566</v>
      </c>
      <c r="R147" s="4">
        <f t="shared" si="16"/>
        <v>1.1414694693830647</v>
      </c>
      <c r="S147" s="2">
        <f t="shared" si="17"/>
        <v>0.14146946938306471</v>
      </c>
    </row>
    <row r="148" spans="12:19" x14ac:dyDescent="0.25">
      <c r="L148" s="11">
        <v>134</v>
      </c>
      <c r="M148" s="4">
        <v>2.1562213573676523</v>
      </c>
      <c r="N148" s="4">
        <v>1.2300388776327875</v>
      </c>
      <c r="O148" s="4">
        <v>1.5939431327572502</v>
      </c>
      <c r="P148" s="4">
        <v>1.7876120601564909</v>
      </c>
      <c r="Q148" s="4">
        <v>1.3293169487771648</v>
      </c>
      <c r="R148" s="4">
        <f t="shared" si="16"/>
        <v>1.6349556441999133</v>
      </c>
      <c r="S148" s="2">
        <f t="shared" si="17"/>
        <v>0.63495564419991335</v>
      </c>
    </row>
    <row r="149" spans="12:19" x14ac:dyDescent="0.25">
      <c r="L149" s="11">
        <v>135</v>
      </c>
      <c r="M149" s="4">
        <v>2.1873341201584142</v>
      </c>
      <c r="N149" s="4">
        <v>1.490128907843812</v>
      </c>
      <c r="O149" s="4">
        <v>1.2780346961571913</v>
      </c>
      <c r="P149" s="4">
        <v>1.7161174728459287</v>
      </c>
      <c r="Q149" s="4">
        <v>1.3289356111015103</v>
      </c>
      <c r="R149" s="4">
        <f t="shared" si="16"/>
        <v>1.592276656960822</v>
      </c>
      <c r="S149" s="2">
        <f t="shared" si="17"/>
        <v>0.59227665696082199</v>
      </c>
    </row>
    <row r="150" spans="12:19" x14ac:dyDescent="0.25">
      <c r="L150" s="11">
        <v>136</v>
      </c>
      <c r="M150" s="4">
        <v>1.5980943235608578</v>
      </c>
      <c r="N150" s="4">
        <v>1.2735274197644451</v>
      </c>
      <c r="O150" s="4">
        <v>1.1782713785031502</v>
      </c>
      <c r="P150" s="4">
        <v>1.4442805303793975</v>
      </c>
      <c r="Q150" s="4">
        <v>1.2926872831924241</v>
      </c>
      <c r="R150" s="4">
        <f t="shared" si="16"/>
        <v>1.3538537743289112</v>
      </c>
      <c r="S150" s="2">
        <f t="shared" si="17"/>
        <v>0.35385377432891119</v>
      </c>
    </row>
    <row r="151" spans="12:19" x14ac:dyDescent="0.25">
      <c r="L151" s="11">
        <v>137</v>
      </c>
      <c r="M151" s="4">
        <v>0.66500726045439262</v>
      </c>
      <c r="N151" s="4">
        <v>0.93886943441794901</v>
      </c>
      <c r="O151" s="4">
        <v>0.95121175288281745</v>
      </c>
      <c r="P151" s="4">
        <v>0.77322533135400484</v>
      </c>
      <c r="Q151" s="4">
        <v>0.92082211116470092</v>
      </c>
      <c r="R151" s="4">
        <f t="shared" si="16"/>
        <v>0.84995096702859363</v>
      </c>
      <c r="S151" s="2">
        <f t="shared" si="17"/>
        <v>-0.15004903297140637</v>
      </c>
    </row>
    <row r="152" spans="12:19" x14ac:dyDescent="0.25">
      <c r="L152" s="11">
        <v>138</v>
      </c>
      <c r="M152" s="4">
        <v>2.3094220987196201</v>
      </c>
      <c r="N152" s="4">
        <v>1.5109276542460528</v>
      </c>
      <c r="O152" s="4">
        <v>1.431415261724537</v>
      </c>
      <c r="P152" s="4">
        <v>1.8093921591889612</v>
      </c>
      <c r="Q152" s="4">
        <v>1.3850937634294966</v>
      </c>
      <c r="R152" s="4">
        <f t="shared" si="16"/>
        <v>1.6867687321147427</v>
      </c>
      <c r="S152" s="2">
        <f t="shared" si="17"/>
        <v>0.68676873211474265</v>
      </c>
    </row>
    <row r="153" spans="12:19" x14ac:dyDescent="0.25">
      <c r="L153" s="11">
        <v>139</v>
      </c>
      <c r="M153" s="4">
        <v>1.5687968301354847</v>
      </c>
      <c r="N153" s="4">
        <v>1.224134099374145</v>
      </c>
      <c r="O153" s="4">
        <v>1.231679184015726</v>
      </c>
      <c r="P153" s="4">
        <v>1.3228308120786736</v>
      </c>
      <c r="Q153" s="4">
        <v>1.1985821140540454</v>
      </c>
      <c r="R153" s="4">
        <f t="shared" si="16"/>
        <v>1.3094587066968273</v>
      </c>
      <c r="S153" s="2">
        <f t="shared" si="17"/>
        <v>0.30945870669682729</v>
      </c>
    </row>
    <row r="154" spans="12:19" x14ac:dyDescent="0.25">
      <c r="L154" s="11">
        <v>140</v>
      </c>
      <c r="M154" s="4">
        <v>1.1521827452340929</v>
      </c>
      <c r="N154" s="4">
        <v>1.1823732158534339</v>
      </c>
      <c r="O154" s="4">
        <v>1.2176710080458553</v>
      </c>
      <c r="P154" s="4">
        <v>1.1252423469665587</v>
      </c>
      <c r="Q154" s="4">
        <v>1.0964576254672149</v>
      </c>
      <c r="R154" s="4">
        <f t="shared" si="16"/>
        <v>1.1562910300573916</v>
      </c>
      <c r="S154" s="2">
        <f t="shared" si="17"/>
        <v>0.15629103005739164</v>
      </c>
    </row>
    <row r="155" spans="12:19" x14ac:dyDescent="0.25">
      <c r="L155" s="11">
        <v>141</v>
      </c>
      <c r="M155" s="4">
        <v>0.78260128814984053</v>
      </c>
      <c r="N155" s="4">
        <v>0.80763285903181636</v>
      </c>
      <c r="O155" s="4">
        <v>0.86654220199960852</v>
      </c>
      <c r="P155" s="4">
        <v>0.8045481864567422</v>
      </c>
      <c r="Q155" s="4">
        <v>0.9302917818762072</v>
      </c>
      <c r="R155" s="4">
        <f t="shared" si="16"/>
        <v>0.8401190383601127</v>
      </c>
      <c r="S155" s="2">
        <f t="shared" si="17"/>
        <v>-0.1598809616398873</v>
      </c>
    </row>
    <row r="156" spans="12:19" x14ac:dyDescent="0.25">
      <c r="L156" s="11">
        <v>142</v>
      </c>
      <c r="M156" s="4">
        <v>1.9897841432722894</v>
      </c>
      <c r="N156" s="4">
        <v>1.4600516089933473</v>
      </c>
      <c r="O156" s="4">
        <v>1.3110360067082349</v>
      </c>
      <c r="P156" s="4">
        <v>1.6743066359722438</v>
      </c>
      <c r="Q156" s="4">
        <v>1.3190853150129345</v>
      </c>
      <c r="R156" s="4">
        <f t="shared" si="16"/>
        <v>1.5457598870323266</v>
      </c>
      <c r="S156" s="2">
        <f t="shared" si="17"/>
        <v>0.54575988703232658</v>
      </c>
    </row>
    <row r="157" spans="12:19" x14ac:dyDescent="0.25">
      <c r="L157" s="11">
        <v>143</v>
      </c>
      <c r="M157" s="4">
        <v>1.1172342504060293</v>
      </c>
      <c r="N157" s="4">
        <v>0.98832632716761892</v>
      </c>
      <c r="O157" s="4">
        <v>1.1516158463687258</v>
      </c>
      <c r="P157" s="4">
        <v>1.0606933656136113</v>
      </c>
      <c r="Q157" s="4">
        <v>1.0686343271180474</v>
      </c>
      <c r="R157" s="4">
        <f t="shared" si="16"/>
        <v>1.0835917778400515</v>
      </c>
      <c r="S157" s="2">
        <f t="shared" si="17"/>
        <v>8.3591777840051451E-2</v>
      </c>
    </row>
    <row r="158" spans="12:19" x14ac:dyDescent="0.25">
      <c r="L158" s="11">
        <v>144</v>
      </c>
      <c r="M158" s="4">
        <v>0.92845549486601797</v>
      </c>
      <c r="N158" s="4">
        <v>0.88466370147293905</v>
      </c>
      <c r="O158" s="4">
        <v>1.0779649906462965</v>
      </c>
      <c r="P158" s="4">
        <v>0.93524737302236649</v>
      </c>
      <c r="Q158" s="4">
        <v>1.0115450007846063</v>
      </c>
      <c r="R158" s="4">
        <f t="shared" si="16"/>
        <v>0.97489653922549258</v>
      </c>
      <c r="S158" s="2">
        <f t="shared" si="17"/>
        <v>-2.5103460774507425E-2</v>
      </c>
    </row>
    <row r="159" spans="12:19" x14ac:dyDescent="0.25">
      <c r="L159" s="11">
        <v>145</v>
      </c>
      <c r="M159" s="4">
        <v>1.5848604975687388</v>
      </c>
      <c r="N159" s="4">
        <v>1.1077304214611874</v>
      </c>
      <c r="O159" s="4">
        <v>1.2976622866631726</v>
      </c>
      <c r="P159" s="4">
        <v>1.3346467762515624</v>
      </c>
      <c r="Q159" s="4">
        <v>1.2492629617786173</v>
      </c>
      <c r="R159" s="4">
        <f t="shared" si="16"/>
        <v>1.3220893000839495</v>
      </c>
      <c r="S159" s="2">
        <f t="shared" si="17"/>
        <v>0.32208930008394954</v>
      </c>
    </row>
    <row r="160" spans="12:19" x14ac:dyDescent="0.25">
      <c r="L160" s="11">
        <v>146</v>
      </c>
      <c r="M160" s="4">
        <v>1.3197163283886217</v>
      </c>
      <c r="N160" s="4">
        <v>1.0721028618241966</v>
      </c>
      <c r="O160" s="4">
        <v>1.2091301424668173</v>
      </c>
      <c r="P160" s="4">
        <v>1.2717889288521151</v>
      </c>
      <c r="Q160" s="4">
        <v>1.1865029101932327</v>
      </c>
      <c r="R160" s="4">
        <f t="shared" si="16"/>
        <v>1.2175014418374825</v>
      </c>
      <c r="S160" s="2">
        <f t="shared" si="17"/>
        <v>0.21750144183748255</v>
      </c>
    </row>
    <row r="161" spans="12:19" x14ac:dyDescent="0.25">
      <c r="L161" s="11">
        <v>147</v>
      </c>
      <c r="M161" s="4">
        <v>1.1993222986043688</v>
      </c>
      <c r="N161" s="4">
        <v>1.0175673455798013</v>
      </c>
      <c r="O161" s="4">
        <v>1.000308102152031</v>
      </c>
      <c r="P161" s="4">
        <v>1.138559733923648</v>
      </c>
      <c r="Q161" s="4">
        <v>1.0846310642020982</v>
      </c>
      <c r="R161" s="4">
        <f t="shared" si="16"/>
        <v>1.0874445127565826</v>
      </c>
      <c r="S161" s="2">
        <f t="shared" si="17"/>
        <v>8.7444512756582604E-2</v>
      </c>
    </row>
    <row r="162" spans="12:19" x14ac:dyDescent="0.25">
      <c r="L162" s="11">
        <v>148</v>
      </c>
      <c r="M162" s="4">
        <v>1.2512761044752128</v>
      </c>
      <c r="N162" s="4">
        <v>1.0421429904844479</v>
      </c>
      <c r="O162" s="4">
        <v>1.2418135363480118</v>
      </c>
      <c r="P162" s="4">
        <v>1.1956340036614703</v>
      </c>
      <c r="Q162" s="4">
        <v>1.1309396946241623</v>
      </c>
      <c r="R162" s="4">
        <f t="shared" si="16"/>
        <v>1.1804128879846369</v>
      </c>
      <c r="S162" s="2">
        <f t="shared" si="17"/>
        <v>0.18041288798463695</v>
      </c>
    </row>
    <row r="163" spans="12:19" x14ac:dyDescent="0.25">
      <c r="L163" s="11">
        <v>149</v>
      </c>
      <c r="M163" s="4">
        <v>0.96594094917091322</v>
      </c>
      <c r="N163" s="4">
        <v>1.055797741214116</v>
      </c>
      <c r="O163" s="4">
        <v>1.1648692639027995</v>
      </c>
      <c r="P163" s="4">
        <v>1.0096435969421074</v>
      </c>
      <c r="Q163" s="4">
        <v>1.0187947190767708</v>
      </c>
      <c r="R163" s="4">
        <f t="shared" si="16"/>
        <v>1.0474355642452364</v>
      </c>
      <c r="S163" s="2">
        <f t="shared" si="17"/>
        <v>4.7435564245236428E-2</v>
      </c>
    </row>
    <row r="164" spans="12:19" x14ac:dyDescent="0.25">
      <c r="L164" s="11">
        <v>150</v>
      </c>
      <c r="M164" s="4">
        <v>1.0298186760093242</v>
      </c>
      <c r="N164" s="4">
        <v>1.1401419940530735</v>
      </c>
      <c r="O164" s="4">
        <v>1.125921056408556</v>
      </c>
      <c r="P164" s="4">
        <v>1.1255326981421954</v>
      </c>
      <c r="Q164" s="4">
        <v>1.1259386843072772</v>
      </c>
      <c r="R164" s="4">
        <f t="shared" si="16"/>
        <v>1.1091414222812817</v>
      </c>
      <c r="S164" s="2">
        <f t="shared" si="17"/>
        <v>0.10914142228128165</v>
      </c>
    </row>
    <row r="165" spans="12:19" x14ac:dyDescent="0.25">
      <c r="L165" s="11">
        <v>151</v>
      </c>
      <c r="M165" s="4">
        <v>0.47213653464022171</v>
      </c>
      <c r="N165" s="4">
        <v>0.84251329284838761</v>
      </c>
      <c r="O165" s="4">
        <v>0.90630930255092246</v>
      </c>
      <c r="P165" s="4">
        <v>0.64768799465468052</v>
      </c>
      <c r="Q165" s="4">
        <v>0.8119056818140421</v>
      </c>
      <c r="R165" s="4">
        <f t="shared" si="16"/>
        <v>0.73838005536806639</v>
      </c>
      <c r="S165" s="2">
        <f t="shared" si="17"/>
        <v>-0.26161994463193361</v>
      </c>
    </row>
    <row r="166" spans="12:19" x14ac:dyDescent="0.25">
      <c r="L166" s="11">
        <v>152</v>
      </c>
      <c r="M166" s="4">
        <v>0.47473469681733416</v>
      </c>
      <c r="N166" s="4">
        <v>0.8463385218154621</v>
      </c>
      <c r="O166" s="4">
        <v>0.88578089447103336</v>
      </c>
      <c r="P166" s="4">
        <v>0.65309674334369161</v>
      </c>
      <c r="Q166" s="4">
        <v>0.85100749454900959</v>
      </c>
      <c r="R166" s="4">
        <f t="shared" si="16"/>
        <v>0.74333578706550307</v>
      </c>
      <c r="S166" s="2">
        <f t="shared" si="17"/>
        <v>-0.25666421293449693</v>
      </c>
    </row>
    <row r="167" spans="12:19" x14ac:dyDescent="0.25">
      <c r="L167" s="11">
        <v>153</v>
      </c>
      <c r="M167" s="4">
        <v>1.3582072647167818</v>
      </c>
      <c r="N167" s="4">
        <v>1.0224436552121867</v>
      </c>
      <c r="O167" s="4">
        <v>1.2114120523789926</v>
      </c>
      <c r="P167" s="4">
        <v>1.2609307835032668</v>
      </c>
      <c r="Q167" s="4">
        <v>1.1184487529094023</v>
      </c>
      <c r="R167" s="4">
        <f t="shared" si="16"/>
        <v>1.2021461949874253</v>
      </c>
      <c r="S167" s="2">
        <f t="shared" si="17"/>
        <v>0.20214619498742525</v>
      </c>
    </row>
    <row r="168" spans="12:19" x14ac:dyDescent="0.25">
      <c r="L168" s="11">
        <v>154</v>
      </c>
      <c r="M168" s="4">
        <v>1.2461907953218383</v>
      </c>
      <c r="N168" s="4">
        <v>1.1657375824039513</v>
      </c>
      <c r="O168" s="4">
        <v>1.2784520594520381</v>
      </c>
      <c r="P168" s="4">
        <v>1.1621950763675517</v>
      </c>
      <c r="Q168" s="4">
        <v>1.1380415713652332</v>
      </c>
      <c r="R168" s="4">
        <f t="shared" si="16"/>
        <v>1.2025249553415338</v>
      </c>
      <c r="S168" s="2">
        <f t="shared" si="17"/>
        <v>0.20252495534153381</v>
      </c>
    </row>
    <row r="169" spans="12:19" x14ac:dyDescent="0.25">
      <c r="L169" s="11">
        <v>155</v>
      </c>
      <c r="M169" s="4">
        <v>1.2978735444559539</v>
      </c>
      <c r="N169" s="4">
        <v>1.0826146669085723</v>
      </c>
      <c r="O169" s="4">
        <v>1.3543627219248255</v>
      </c>
      <c r="P169" s="4">
        <v>1.2576992446475352</v>
      </c>
      <c r="Q169" s="4">
        <v>1.1305001142038573</v>
      </c>
      <c r="R169" s="4">
        <f t="shared" si="16"/>
        <v>1.2358586171390908</v>
      </c>
      <c r="S169" s="2">
        <f t="shared" si="17"/>
        <v>0.23585861713909084</v>
      </c>
    </row>
    <row r="170" spans="12:19" x14ac:dyDescent="0.25">
      <c r="L170" s="11">
        <v>156</v>
      </c>
      <c r="M170" s="4">
        <v>0.89263308705184496</v>
      </c>
      <c r="N170" s="4">
        <v>0.917779308283867</v>
      </c>
      <c r="O170" s="4">
        <v>1.1400061859365143</v>
      </c>
      <c r="P170" s="4">
        <v>0.92607072301451077</v>
      </c>
      <c r="Q170" s="4">
        <v>0.98745746316179883</v>
      </c>
      <c r="R170" s="4">
        <f t="shared" si="16"/>
        <v>0.98141860567055694</v>
      </c>
      <c r="S170" s="2">
        <f t="shared" si="17"/>
        <v>-1.8581394329443057E-2</v>
      </c>
    </row>
    <row r="171" spans="12:19" x14ac:dyDescent="0.25">
      <c r="L171" s="11">
        <v>157</v>
      </c>
      <c r="M171" s="4">
        <v>0.96796249966166603</v>
      </c>
      <c r="N171" s="4">
        <v>1.0001848252739083</v>
      </c>
      <c r="O171" s="4">
        <v>1.2088966563683035</v>
      </c>
      <c r="P171" s="4">
        <v>1.0130677131105277</v>
      </c>
      <c r="Q171" s="4">
        <v>1.0314150143240493</v>
      </c>
      <c r="R171" s="4">
        <f t="shared" si="16"/>
        <v>1.0526293954917632</v>
      </c>
      <c r="S171" s="2">
        <f t="shared" si="17"/>
        <v>5.2629395491763153E-2</v>
      </c>
    </row>
    <row r="172" spans="12:19" x14ac:dyDescent="0.25">
      <c r="L172" s="11">
        <v>158</v>
      </c>
      <c r="M172" s="4">
        <v>1.3069187358117278</v>
      </c>
      <c r="N172" s="4">
        <v>1.1154569446394977</v>
      </c>
      <c r="O172" s="4">
        <v>1.2395960889803588</v>
      </c>
      <c r="P172" s="4">
        <v>1.2592123579821908</v>
      </c>
      <c r="Q172" s="4">
        <v>1.1484113605167197</v>
      </c>
      <c r="R172" s="4">
        <f t="shared" si="16"/>
        <v>1.2192091276288903</v>
      </c>
      <c r="S172" s="2">
        <f t="shared" si="17"/>
        <v>0.21920912762889033</v>
      </c>
    </row>
    <row r="173" spans="12:19" x14ac:dyDescent="0.25">
      <c r="L173" s="11">
        <v>159</v>
      </c>
      <c r="M173" s="4">
        <v>1.9069819742137777</v>
      </c>
      <c r="N173" s="4">
        <v>1.398224998672065</v>
      </c>
      <c r="O173" s="4">
        <v>1.2096389065883908</v>
      </c>
      <c r="P173" s="4">
        <v>1.6771386131776116</v>
      </c>
      <c r="Q173" s="4">
        <v>1.2752106794051785</v>
      </c>
      <c r="R173" s="4">
        <f t="shared" si="16"/>
        <v>1.4871717380380396</v>
      </c>
      <c r="S173" s="2">
        <f t="shared" si="17"/>
        <v>0.48717173803803959</v>
      </c>
    </row>
    <row r="174" spans="12:19" x14ac:dyDescent="0.25">
      <c r="L174" s="11">
        <v>160</v>
      </c>
      <c r="M174" s="4">
        <v>1.6005602424053642</v>
      </c>
      <c r="N174" s="4">
        <v>1.2527766079623348</v>
      </c>
      <c r="O174" s="4">
        <v>1.263918494393711</v>
      </c>
      <c r="P174" s="4">
        <v>1.3708131255670015</v>
      </c>
      <c r="Q174" s="4">
        <v>1.1963138859954852</v>
      </c>
      <c r="R174" s="4">
        <f t="shared" si="16"/>
        <v>1.3375452245227808</v>
      </c>
      <c r="S174" s="2">
        <f t="shared" si="17"/>
        <v>0.3375452245227808</v>
      </c>
    </row>
    <row r="175" spans="12:19" x14ac:dyDescent="0.25">
      <c r="L175" s="11">
        <v>161</v>
      </c>
      <c r="M175" s="4">
        <v>1.5894949686119682</v>
      </c>
      <c r="N175" s="4">
        <v>1.3016211576769847</v>
      </c>
      <c r="O175" s="4">
        <v>1.2281553050211098</v>
      </c>
      <c r="P175" s="4">
        <v>1.39881934259717</v>
      </c>
      <c r="Q175" s="4">
        <v>1.2269773203788032</v>
      </c>
      <c r="R175" s="4">
        <f t="shared" si="16"/>
        <v>1.3464059108311128</v>
      </c>
      <c r="S175" s="2">
        <f t="shared" si="17"/>
        <v>0.34640591083111283</v>
      </c>
    </row>
    <row r="176" spans="12:19" x14ac:dyDescent="0.25">
      <c r="L176" s="11">
        <v>162</v>
      </c>
      <c r="M176" s="4">
        <v>1.6446225159904815</v>
      </c>
      <c r="N176" s="4">
        <v>1.1557214316288411</v>
      </c>
      <c r="O176" s="4">
        <v>1.3179903538930993</v>
      </c>
      <c r="P176" s="4">
        <v>1.4180315767791229</v>
      </c>
      <c r="Q176" s="4">
        <v>1.2138427222551251</v>
      </c>
      <c r="R176" s="4">
        <f t="shared" si="16"/>
        <v>1.3568082135573756</v>
      </c>
      <c r="S176" s="2">
        <f t="shared" si="17"/>
        <v>0.35680821355737558</v>
      </c>
    </row>
    <row r="177" spans="12:19" x14ac:dyDescent="0.25">
      <c r="L177" s="11">
        <v>163</v>
      </c>
      <c r="M177" s="4">
        <v>1.9057968630329249</v>
      </c>
      <c r="N177" s="4">
        <v>1.3828501143411114</v>
      </c>
      <c r="O177" s="4">
        <v>1.2393993333017923</v>
      </c>
      <c r="P177" s="4">
        <v>1.6549423643685153</v>
      </c>
      <c r="Q177" s="4">
        <v>1.2804388516785508</v>
      </c>
      <c r="R177" s="4">
        <f t="shared" si="16"/>
        <v>1.4880357032674874</v>
      </c>
      <c r="S177" s="2">
        <f t="shared" si="17"/>
        <v>0.48803570326748735</v>
      </c>
    </row>
    <row r="178" spans="12:19" x14ac:dyDescent="0.25">
      <c r="L178" s="11">
        <v>164</v>
      </c>
      <c r="M178" s="4">
        <v>1.5951497003013477</v>
      </c>
      <c r="N178" s="4">
        <v>1.3588518752468843</v>
      </c>
      <c r="O178" s="4">
        <v>1.3202183920195618</v>
      </c>
      <c r="P178" s="4">
        <v>1.3884080035604858</v>
      </c>
      <c r="Q178" s="4">
        <v>1.2772559785560635</v>
      </c>
      <c r="R178" s="4">
        <f t="shared" si="16"/>
        <v>1.3864576957815877</v>
      </c>
      <c r="S178" s="2">
        <f t="shared" si="17"/>
        <v>0.38645769578158773</v>
      </c>
    </row>
    <row r="179" spans="12:19" x14ac:dyDescent="0.25">
      <c r="L179" s="11">
        <v>165</v>
      </c>
      <c r="M179" s="4">
        <v>1.5977807279875855</v>
      </c>
      <c r="N179" s="4">
        <v>1.2300381088109955</v>
      </c>
      <c r="O179" s="4">
        <v>1.3176085070828552</v>
      </c>
      <c r="P179" s="4">
        <v>1.4028552546652482</v>
      </c>
      <c r="Q179" s="4">
        <v>1.2239369985594857</v>
      </c>
      <c r="R179" s="4">
        <f t="shared" si="16"/>
        <v>1.3582347491878337</v>
      </c>
      <c r="S179" s="2">
        <f t="shared" si="17"/>
        <v>0.35823474918783371</v>
      </c>
    </row>
    <row r="180" spans="12:19" x14ac:dyDescent="0.25">
      <c r="L180" s="11">
        <v>166</v>
      </c>
      <c r="M180" s="4">
        <v>0.9003711274624655</v>
      </c>
      <c r="N180" s="4">
        <v>1.0328136967664736</v>
      </c>
      <c r="O180" s="4">
        <v>1.0141699537322619</v>
      </c>
      <c r="P180" s="4">
        <v>1.0262859486908507</v>
      </c>
      <c r="Q180" s="4">
        <v>1.0593919834165313</v>
      </c>
      <c r="R180" s="4">
        <f t="shared" si="16"/>
        <v>1.006013459689427</v>
      </c>
      <c r="S180" s="2">
        <f t="shared" si="17"/>
        <v>6.0134596894270143E-3</v>
      </c>
    </row>
    <row r="181" spans="12:19" x14ac:dyDescent="0.25">
      <c r="L181" s="11">
        <v>167</v>
      </c>
      <c r="M181" s="4">
        <v>2.5790089282992059</v>
      </c>
      <c r="N181" s="4">
        <v>1.4570814061320898</v>
      </c>
      <c r="O181" s="4">
        <v>1.546996840539165</v>
      </c>
      <c r="P181" s="4">
        <v>2.0256497830660809</v>
      </c>
      <c r="Q181" s="4">
        <v>1.4589867770268197</v>
      </c>
      <c r="R181" s="4">
        <f t="shared" si="16"/>
        <v>1.8182338195289736</v>
      </c>
      <c r="S181" s="2">
        <f t="shared" si="17"/>
        <v>0.81823381952897356</v>
      </c>
    </row>
    <row r="182" spans="12:19" x14ac:dyDescent="0.25">
      <c r="L182" s="11">
        <v>168</v>
      </c>
      <c r="M182" s="4">
        <v>1.4080711890656707</v>
      </c>
      <c r="N182" s="4">
        <v>1.2132258750180891</v>
      </c>
      <c r="O182" s="4">
        <v>1.2177289749242188</v>
      </c>
      <c r="P182" s="4">
        <v>1.3102655177239255</v>
      </c>
      <c r="Q182" s="4">
        <v>1.1652107145186967</v>
      </c>
      <c r="R182" s="4">
        <f t="shared" si="16"/>
        <v>1.2634931836855132</v>
      </c>
      <c r="S182" s="2">
        <f t="shared" si="17"/>
        <v>0.26349318368551322</v>
      </c>
    </row>
    <row r="183" spans="12:19" x14ac:dyDescent="0.25">
      <c r="L183" s="11">
        <v>169</v>
      </c>
      <c r="M183" s="4">
        <v>3.339222067796904</v>
      </c>
      <c r="N183" s="4">
        <v>1.8503394898506709</v>
      </c>
      <c r="O183" s="4">
        <v>1.5706299221517859</v>
      </c>
      <c r="P183" s="4">
        <v>2.2856549903043573</v>
      </c>
      <c r="Q183" s="4">
        <v>1.55671123932587</v>
      </c>
      <c r="R183" s="4">
        <f t="shared" si="16"/>
        <v>2.1101169176515673</v>
      </c>
      <c r="S183" s="2">
        <f t="shared" si="17"/>
        <v>1.1101169176515673</v>
      </c>
    </row>
    <row r="184" spans="12:19" x14ac:dyDescent="0.25">
      <c r="L184" s="11">
        <v>170</v>
      </c>
      <c r="M184" s="4">
        <v>1.1821115252527403</v>
      </c>
      <c r="N184" s="4">
        <v>1.2000532705182427</v>
      </c>
      <c r="O184" s="4">
        <v>1.1847971096053984</v>
      </c>
      <c r="P184" s="4">
        <v>1.1709986629937745</v>
      </c>
      <c r="Q184" s="4">
        <v>1.1100077777996993</v>
      </c>
      <c r="R184" s="4">
        <f t="shared" si="16"/>
        <v>1.1692663258217431</v>
      </c>
      <c r="S184" s="2">
        <f t="shared" si="17"/>
        <v>0.16926632582174306</v>
      </c>
    </row>
    <row r="185" spans="12:19" x14ac:dyDescent="0.25">
      <c r="L185" s="11">
        <v>171</v>
      </c>
      <c r="M185" s="4">
        <v>0.85444986600818906</v>
      </c>
      <c r="N185" s="4">
        <v>1.0755714653236523</v>
      </c>
      <c r="O185" s="4">
        <v>0.98283037088584357</v>
      </c>
      <c r="P185" s="4">
        <v>0.97191657434382051</v>
      </c>
      <c r="Q185" s="4">
        <v>1.0565332861080297</v>
      </c>
      <c r="R185" s="4">
        <f t="shared" si="16"/>
        <v>0.98449589496536338</v>
      </c>
      <c r="S185" s="2">
        <f t="shared" si="17"/>
        <v>-1.5504105034636617E-2</v>
      </c>
    </row>
    <row r="186" spans="12:19" x14ac:dyDescent="0.25">
      <c r="L186" s="11">
        <v>172</v>
      </c>
      <c r="M186" s="4">
        <v>0.46388685302391469</v>
      </c>
      <c r="N186" s="4">
        <v>0.77314799302309034</v>
      </c>
      <c r="O186" s="4">
        <v>0.8670439558856089</v>
      </c>
      <c r="P186" s="4">
        <v>0.64230848955116315</v>
      </c>
      <c r="Q186" s="4">
        <v>0.85625956602147379</v>
      </c>
      <c r="R186" s="4">
        <f t="shared" si="16"/>
        <v>0.72373454120954239</v>
      </c>
      <c r="S186" s="2">
        <f t="shared" si="17"/>
        <v>-0.27626545879045761</v>
      </c>
    </row>
    <row r="187" spans="12:19" x14ac:dyDescent="0.25">
      <c r="L187" s="11">
        <v>173</v>
      </c>
      <c r="M187" s="4">
        <v>1.9055950280890079</v>
      </c>
      <c r="N187" s="4">
        <v>1.290894212515556</v>
      </c>
      <c r="O187" s="4">
        <v>1.3055544574798557</v>
      </c>
      <c r="P187" s="4">
        <v>1.5543390995239497</v>
      </c>
      <c r="Q187" s="4">
        <v>1.2663409133976655</v>
      </c>
      <c r="R187" s="4">
        <f t="shared" si="16"/>
        <v>1.465534809126998</v>
      </c>
      <c r="S187" s="2">
        <f t="shared" si="17"/>
        <v>0.46553480912699796</v>
      </c>
    </row>
    <row r="188" spans="12:19" x14ac:dyDescent="0.25">
      <c r="L188" s="11">
        <v>174</v>
      </c>
      <c r="M188" s="4">
        <v>0.71575800962980274</v>
      </c>
      <c r="N188" s="4">
        <v>0.80806173674636506</v>
      </c>
      <c r="O188" s="4">
        <v>1.0753702722564269</v>
      </c>
      <c r="P188" s="4">
        <v>0.8120413674825161</v>
      </c>
      <c r="Q188" s="4">
        <v>0.91265799062855235</v>
      </c>
      <c r="R188" s="4">
        <f t="shared" si="16"/>
        <v>0.8751677418307553</v>
      </c>
      <c r="S188" s="2">
        <f t="shared" si="17"/>
        <v>-0.1248322581692447</v>
      </c>
    </row>
    <row r="189" spans="12:19" x14ac:dyDescent="0.25">
      <c r="L189" s="11">
        <v>175</v>
      </c>
      <c r="M189" s="4">
        <v>2.2733327905658802</v>
      </c>
      <c r="N189" s="4">
        <v>1.3218527953147203</v>
      </c>
      <c r="O189" s="4">
        <v>1.3018799161294272</v>
      </c>
      <c r="P189" s="4">
        <v>1.770240751913752</v>
      </c>
      <c r="Q189" s="4">
        <v>1.3641555981276858</v>
      </c>
      <c r="R189" s="4">
        <f t="shared" si="16"/>
        <v>1.6060145146239309</v>
      </c>
      <c r="S189" s="2">
        <f t="shared" si="17"/>
        <v>0.60601451462393086</v>
      </c>
    </row>
    <row r="190" spans="12:19" x14ac:dyDescent="0.25">
      <c r="L190" s="11">
        <v>176</v>
      </c>
      <c r="M190" s="4">
        <v>3.2163372095643896</v>
      </c>
      <c r="N190" s="4">
        <v>1.4527432674470186</v>
      </c>
      <c r="O190" s="4">
        <v>1.407930509630533</v>
      </c>
      <c r="P190" s="4">
        <v>2.1329740748693187</v>
      </c>
      <c r="Q190" s="4">
        <v>1.5226516838224533</v>
      </c>
      <c r="R190" s="4">
        <f t="shared" si="16"/>
        <v>1.9447248349615269</v>
      </c>
      <c r="S190" s="2">
        <f t="shared" si="17"/>
        <v>0.94472483496152693</v>
      </c>
    </row>
    <row r="191" spans="12:19" x14ac:dyDescent="0.25">
      <c r="L191" s="11">
        <v>177</v>
      </c>
      <c r="M191" s="4">
        <v>1.4619152318629225</v>
      </c>
      <c r="N191" s="4">
        <v>1.0966642459354323</v>
      </c>
      <c r="O191" s="4">
        <v>1.2072294711391396</v>
      </c>
      <c r="P191" s="4">
        <v>1.3287376049397883</v>
      </c>
      <c r="Q191" s="4">
        <v>1.1740275175563817</v>
      </c>
      <c r="R191" s="4">
        <f t="shared" si="16"/>
        <v>1.2584260124375461</v>
      </c>
      <c r="S191" s="2">
        <f t="shared" si="17"/>
        <v>0.25842601243754615</v>
      </c>
    </row>
    <row r="192" spans="12:19" x14ac:dyDescent="0.25">
      <c r="L192" s="11">
        <v>178</v>
      </c>
      <c r="M192" s="4">
        <v>1.864702359935728</v>
      </c>
      <c r="N192" s="4">
        <v>1.4687060232415063</v>
      </c>
      <c r="O192" s="4">
        <v>1.5980972426885574</v>
      </c>
      <c r="P192" s="4">
        <v>1.6249099608907671</v>
      </c>
      <c r="Q192" s="4">
        <v>1.2833106450439595</v>
      </c>
      <c r="R192" s="4">
        <f t="shared" si="16"/>
        <v>1.5740818693108347</v>
      </c>
      <c r="S192" s="2">
        <f t="shared" si="17"/>
        <v>0.57408186931083471</v>
      </c>
    </row>
    <row r="193" spans="12:19" x14ac:dyDescent="0.25">
      <c r="L193" s="11">
        <v>179</v>
      </c>
      <c r="M193" s="4">
        <v>0.64873969343959104</v>
      </c>
      <c r="N193" s="4">
        <v>0.9466444172903824</v>
      </c>
      <c r="O193" s="4">
        <v>1.0399612058202345</v>
      </c>
      <c r="P193" s="4">
        <v>0.80641913757713835</v>
      </c>
      <c r="Q193" s="4">
        <v>0.95637384324001817</v>
      </c>
      <c r="R193" s="4">
        <f t="shared" si="16"/>
        <v>0.88307148216354348</v>
      </c>
      <c r="S193" s="2">
        <f t="shared" si="17"/>
        <v>-0.11692851783645652</v>
      </c>
    </row>
    <row r="194" spans="12:19" x14ac:dyDescent="0.25">
      <c r="L194" s="11">
        <v>180</v>
      </c>
      <c r="M194" s="4">
        <v>1.6081485900778825</v>
      </c>
      <c r="N194" s="4">
        <v>1.4381527429441294</v>
      </c>
      <c r="O194" s="4">
        <v>1.2493738370054985</v>
      </c>
      <c r="P194" s="4">
        <v>1.4898687683182976</v>
      </c>
      <c r="Q194" s="4">
        <v>1.2115427688133291</v>
      </c>
      <c r="R194" s="4">
        <f t="shared" si="16"/>
        <v>1.3929276705202176</v>
      </c>
      <c r="S194" s="2">
        <f t="shared" si="17"/>
        <v>0.3929276705202176</v>
      </c>
    </row>
    <row r="195" spans="12:19" x14ac:dyDescent="0.25">
      <c r="L195" s="11">
        <v>181</v>
      </c>
      <c r="M195" s="4">
        <v>1.2323803072957997</v>
      </c>
      <c r="N195" s="4">
        <v>0.97983612920764895</v>
      </c>
      <c r="O195" s="4">
        <v>1.1505572838155029</v>
      </c>
      <c r="P195" s="4">
        <v>1.1632566507522861</v>
      </c>
      <c r="Q195" s="4">
        <v>1.114248097674402</v>
      </c>
      <c r="R195" s="4">
        <f t="shared" si="16"/>
        <v>1.1348324382899417</v>
      </c>
      <c r="S195" s="2">
        <f t="shared" si="17"/>
        <v>0.13483243828994174</v>
      </c>
    </row>
    <row r="196" spans="12:19" x14ac:dyDescent="0.25">
      <c r="L196" s="11">
        <v>182</v>
      </c>
      <c r="M196" s="4">
        <v>1.0497946746879083</v>
      </c>
      <c r="N196" s="4">
        <v>1.0921033624562226</v>
      </c>
      <c r="O196" s="4">
        <v>1.2243178340682845</v>
      </c>
      <c r="P196" s="4">
        <v>1.104785693755977</v>
      </c>
      <c r="Q196" s="4">
        <v>1.0472176982424031</v>
      </c>
      <c r="R196" s="4">
        <f t="shared" si="16"/>
        <v>1.1093112310195308</v>
      </c>
      <c r="S196" s="2">
        <f t="shared" si="17"/>
        <v>0.10931123101953077</v>
      </c>
    </row>
    <row r="197" spans="12:19" x14ac:dyDescent="0.25">
      <c r="L197" s="11">
        <v>183</v>
      </c>
      <c r="M197" s="4">
        <v>1.4769533135141748</v>
      </c>
      <c r="N197" s="4">
        <v>1.1989509107618692</v>
      </c>
      <c r="O197" s="4">
        <v>1.249723682994768</v>
      </c>
      <c r="P197" s="4">
        <v>1.4262980637607507</v>
      </c>
      <c r="Q197" s="4">
        <v>1.1844147910614296</v>
      </c>
      <c r="R197" s="4">
        <f t="shared" si="16"/>
        <v>1.3102199677026802</v>
      </c>
      <c r="S197" s="2">
        <f t="shared" si="17"/>
        <v>0.31021996770268023</v>
      </c>
    </row>
    <row r="198" spans="12:19" x14ac:dyDescent="0.25">
      <c r="L198" s="11">
        <v>184</v>
      </c>
      <c r="M198" s="4">
        <v>2.0711009231112252</v>
      </c>
      <c r="N198" s="4">
        <v>1.3659763692788909</v>
      </c>
      <c r="O198" s="4">
        <v>1.4726765198822134</v>
      </c>
      <c r="P198" s="4">
        <v>1.7491607018685891</v>
      </c>
      <c r="Q198" s="4">
        <v>1.4233860748367451</v>
      </c>
      <c r="R198" s="4">
        <f t="shared" si="16"/>
        <v>1.621309578008362</v>
      </c>
      <c r="S198" s="2">
        <f t="shared" si="17"/>
        <v>0.62130957800836195</v>
      </c>
    </row>
    <row r="199" spans="12:19" x14ac:dyDescent="0.25">
      <c r="L199" s="11">
        <v>185</v>
      </c>
      <c r="M199" s="4">
        <v>1.6163117503368671</v>
      </c>
      <c r="N199" s="4">
        <v>1.2880631371246418</v>
      </c>
      <c r="O199" s="4">
        <v>1.4006592240435005</v>
      </c>
      <c r="P199" s="4">
        <v>1.3853719458983542</v>
      </c>
      <c r="Q199" s="4">
        <v>1.2376406211979483</v>
      </c>
      <c r="R199" s="4">
        <f t="shared" si="16"/>
        <v>1.3901955457852297</v>
      </c>
      <c r="S199" s="2">
        <f t="shared" si="17"/>
        <v>0.39019554578522975</v>
      </c>
    </row>
    <row r="200" spans="12:19" x14ac:dyDescent="0.25">
      <c r="L200" s="11">
        <v>186</v>
      </c>
      <c r="M200" s="4">
        <v>1.1228995394970009</v>
      </c>
      <c r="N200" s="4">
        <v>0.98890860652444912</v>
      </c>
      <c r="O200" s="4">
        <v>1.1331714962307946</v>
      </c>
      <c r="P200" s="4">
        <v>1.0324090389718426</v>
      </c>
      <c r="Q200" s="4">
        <v>1.0777128450570872</v>
      </c>
      <c r="R200" s="4">
        <f t="shared" si="16"/>
        <v>1.076305846683856</v>
      </c>
      <c r="S200" s="2">
        <f t="shared" si="17"/>
        <v>7.6305846683855982E-2</v>
      </c>
    </row>
    <row r="201" spans="12:19" x14ac:dyDescent="0.25">
      <c r="L201" s="11">
        <v>187</v>
      </c>
      <c r="M201" s="4">
        <v>2.573656750806681</v>
      </c>
      <c r="N201" s="4">
        <v>1.8381566815300812</v>
      </c>
      <c r="O201" s="4">
        <v>1.5406750954053985</v>
      </c>
      <c r="P201" s="4">
        <v>2.0719666225600131</v>
      </c>
      <c r="Q201" s="4">
        <v>1.4470052689939981</v>
      </c>
      <c r="R201" s="4">
        <f t="shared" si="16"/>
        <v>1.8841240282314602</v>
      </c>
      <c r="S201" s="2">
        <f t="shared" si="17"/>
        <v>0.88412402823146019</v>
      </c>
    </row>
    <row r="202" spans="12:19" x14ac:dyDescent="0.25">
      <c r="L202" s="11">
        <v>188</v>
      </c>
      <c r="M202" s="4">
        <v>1.3890045170576841</v>
      </c>
      <c r="N202" s="4">
        <v>1.3726626656421193</v>
      </c>
      <c r="O202" s="4">
        <v>1.072690622719888</v>
      </c>
      <c r="P202" s="4">
        <v>1.1923184907241682</v>
      </c>
      <c r="Q202" s="4">
        <v>1.1519249711202018</v>
      </c>
      <c r="R202" s="4">
        <f t="shared" si="16"/>
        <v>1.2235818891524395</v>
      </c>
      <c r="S202" s="2">
        <f t="shared" si="17"/>
        <v>0.22358188915243948</v>
      </c>
    </row>
    <row r="203" spans="12:19" x14ac:dyDescent="0.25">
      <c r="L203" s="11">
        <v>189</v>
      </c>
      <c r="M203" s="4">
        <v>1.6031992736632485</v>
      </c>
      <c r="N203" s="4">
        <v>1.0880141957246983</v>
      </c>
      <c r="O203" s="4">
        <v>1.4688977549464728</v>
      </c>
      <c r="P203" s="4">
        <v>1.3513426102314547</v>
      </c>
      <c r="Q203" s="4">
        <v>1.2036300923003529</v>
      </c>
      <c r="R203" s="4">
        <f t="shared" si="16"/>
        <v>1.3581535663159026</v>
      </c>
      <c r="S203" s="2">
        <f t="shared" si="17"/>
        <v>0.35815356631590256</v>
      </c>
    </row>
    <row r="204" spans="12:19" x14ac:dyDescent="0.25">
      <c r="L204" s="11">
        <v>190</v>
      </c>
      <c r="M204" s="4">
        <v>1.8634907311284923</v>
      </c>
      <c r="N204" s="4">
        <v>1.3756707364909495</v>
      </c>
      <c r="O204" s="4">
        <v>1.3473666707394945</v>
      </c>
      <c r="P204" s="4">
        <v>1.5858981308304245</v>
      </c>
      <c r="Q204" s="4">
        <v>1.2364467530706675</v>
      </c>
      <c r="R204" s="4">
        <f t="shared" si="16"/>
        <v>1.4815534320189645</v>
      </c>
      <c r="S204" s="2">
        <f t="shared" si="17"/>
        <v>0.4815534320189645</v>
      </c>
    </row>
    <row r="205" spans="12:19" x14ac:dyDescent="0.25">
      <c r="L205" s="11">
        <v>191</v>
      </c>
      <c r="M205" s="4">
        <v>1.0012213816013715</v>
      </c>
      <c r="N205" s="4">
        <v>1.0165518032305902</v>
      </c>
      <c r="O205" s="4">
        <v>1.2446375655404565</v>
      </c>
      <c r="P205" s="4">
        <v>1.0303172206875184</v>
      </c>
      <c r="Q205" s="4">
        <v>1.0751666310130097</v>
      </c>
      <c r="R205" s="4">
        <f t="shared" si="16"/>
        <v>1.082507733972119</v>
      </c>
      <c r="S205" s="2">
        <f t="shared" si="17"/>
        <v>8.2507733972118968E-2</v>
      </c>
    </row>
    <row r="206" spans="12:19" x14ac:dyDescent="0.25">
      <c r="L206" s="11">
        <v>192</v>
      </c>
      <c r="M206" s="4">
        <v>1.5798040409153871</v>
      </c>
      <c r="N206" s="4">
        <v>1.1521073696929462</v>
      </c>
      <c r="O206" s="4">
        <v>1.2933733394818674</v>
      </c>
      <c r="P206" s="4">
        <v>1.4131808031095567</v>
      </c>
      <c r="Q206" s="4">
        <v>1.202244971941457</v>
      </c>
      <c r="R206" s="4">
        <f t="shared" si="16"/>
        <v>1.3342507483252857</v>
      </c>
      <c r="S206" s="2">
        <f t="shared" si="17"/>
        <v>0.33425074832528567</v>
      </c>
    </row>
    <row r="207" spans="12:19" x14ac:dyDescent="0.25">
      <c r="L207" s="11">
        <v>193</v>
      </c>
      <c r="M207" s="4">
        <v>2.1551390526796417</v>
      </c>
      <c r="N207" s="4">
        <v>1.4319054605157189</v>
      </c>
      <c r="O207" s="4">
        <v>1.481376271628682</v>
      </c>
      <c r="P207" s="4">
        <v>1.7550908239837664</v>
      </c>
      <c r="Q207" s="4">
        <v>1.3620757371174135</v>
      </c>
      <c r="R207" s="4">
        <f t="shared" ref="R207:R270" si="18">SUMPRODUCT(M207:Q207,$M$8:$Q$8)</f>
        <v>1.6398511060588561</v>
      </c>
      <c r="S207" s="2">
        <f t="shared" si="17"/>
        <v>0.63985110605885609</v>
      </c>
    </row>
    <row r="208" spans="12:19" x14ac:dyDescent="0.25">
      <c r="L208" s="11">
        <v>194</v>
      </c>
      <c r="M208" s="4">
        <v>2.7754793685599974</v>
      </c>
      <c r="N208" s="4">
        <v>1.7518165094875211</v>
      </c>
      <c r="O208" s="4">
        <v>1.4280756602813975</v>
      </c>
      <c r="P208" s="4">
        <v>1.9223313846488435</v>
      </c>
      <c r="Q208" s="4">
        <v>1.4608711303555155</v>
      </c>
      <c r="R208" s="4">
        <f t="shared" si="18"/>
        <v>1.8548945687016183</v>
      </c>
      <c r="S208" s="2">
        <f t="shared" ref="S208:S271" si="19">R208-1</f>
        <v>0.85489456870161828</v>
      </c>
    </row>
    <row r="209" spans="12:19" x14ac:dyDescent="0.25">
      <c r="L209" s="11">
        <v>195</v>
      </c>
      <c r="M209" s="4">
        <v>0.66522353767454112</v>
      </c>
      <c r="N209" s="4">
        <v>0.9464253177417038</v>
      </c>
      <c r="O209" s="4">
        <v>1.059494087448924</v>
      </c>
      <c r="P209" s="4">
        <v>0.86082071774586977</v>
      </c>
      <c r="Q209" s="4">
        <v>0.95589313367392714</v>
      </c>
      <c r="R209" s="4">
        <f t="shared" si="18"/>
        <v>0.90213092095035774</v>
      </c>
      <c r="S209" s="2">
        <f t="shared" si="19"/>
        <v>-9.786907904964226E-2</v>
      </c>
    </row>
    <row r="210" spans="12:19" x14ac:dyDescent="0.25">
      <c r="L210" s="11">
        <v>196</v>
      </c>
      <c r="M210" s="4">
        <v>1.8505616550891175</v>
      </c>
      <c r="N210" s="4">
        <v>1.1453832637868235</v>
      </c>
      <c r="O210" s="4">
        <v>1.4669831517818328</v>
      </c>
      <c r="P210" s="4">
        <v>1.5709112096950377</v>
      </c>
      <c r="Q210" s="4">
        <v>1.2509913226092699</v>
      </c>
      <c r="R210" s="4">
        <f t="shared" si="18"/>
        <v>1.4704250689573974</v>
      </c>
      <c r="S210" s="2">
        <f t="shared" si="19"/>
        <v>0.47042506895739744</v>
      </c>
    </row>
    <row r="211" spans="12:19" x14ac:dyDescent="0.25">
      <c r="L211" s="11">
        <v>197</v>
      </c>
      <c r="M211" s="4">
        <v>1.6345720374415438</v>
      </c>
      <c r="N211" s="4">
        <v>1.3040560243547963</v>
      </c>
      <c r="O211" s="4">
        <v>1.1708975249024993</v>
      </c>
      <c r="P211" s="4">
        <v>1.3580635157253391</v>
      </c>
      <c r="Q211" s="4">
        <v>1.2185965497506108</v>
      </c>
      <c r="R211" s="4">
        <f t="shared" si="18"/>
        <v>1.3319101596610448</v>
      </c>
      <c r="S211" s="2">
        <f t="shared" si="19"/>
        <v>0.33191015966104476</v>
      </c>
    </row>
    <row r="212" spans="12:19" x14ac:dyDescent="0.25">
      <c r="L212" s="11">
        <v>198</v>
      </c>
      <c r="M212" s="4">
        <v>1.5668554119881615</v>
      </c>
      <c r="N212" s="4">
        <v>1.3082890168244152</v>
      </c>
      <c r="O212" s="4">
        <v>1.1920428408594097</v>
      </c>
      <c r="P212" s="4">
        <v>1.3978629332485799</v>
      </c>
      <c r="Q212" s="4">
        <v>1.1875289906903626</v>
      </c>
      <c r="R212" s="4">
        <f t="shared" si="18"/>
        <v>1.3264461137898702</v>
      </c>
      <c r="S212" s="2">
        <f t="shared" si="19"/>
        <v>0.32644611378987021</v>
      </c>
    </row>
    <row r="213" spans="12:19" x14ac:dyDescent="0.25">
      <c r="L213" s="11">
        <v>199</v>
      </c>
      <c r="M213" s="4">
        <v>1.8841559891632167</v>
      </c>
      <c r="N213" s="4">
        <v>1.1883365419342879</v>
      </c>
      <c r="O213" s="4">
        <v>1.3176303550058568</v>
      </c>
      <c r="P213" s="4">
        <v>1.5567963547798391</v>
      </c>
      <c r="Q213" s="4">
        <v>1.2619744373031487</v>
      </c>
      <c r="R213" s="4">
        <f t="shared" si="18"/>
        <v>1.4473728895160369</v>
      </c>
      <c r="S213" s="2">
        <f t="shared" si="19"/>
        <v>0.44737288951603693</v>
      </c>
    </row>
    <row r="214" spans="12:19" x14ac:dyDescent="0.25">
      <c r="L214" s="11">
        <v>200</v>
      </c>
      <c r="M214" s="4">
        <v>1.0009419996628106</v>
      </c>
      <c r="N214" s="4">
        <v>1.2736265700071197</v>
      </c>
      <c r="O214" s="4">
        <v>1.1121571303949611</v>
      </c>
      <c r="P214" s="4">
        <v>1.1424598487800983</v>
      </c>
      <c r="Q214" s="4">
        <v>1.111658841053119</v>
      </c>
      <c r="R214" s="4">
        <f t="shared" si="18"/>
        <v>1.1222942740022193</v>
      </c>
      <c r="S214" s="2">
        <f t="shared" si="19"/>
        <v>0.12229427400221926</v>
      </c>
    </row>
    <row r="215" spans="12:19" x14ac:dyDescent="0.25">
      <c r="L215" s="11">
        <v>201</v>
      </c>
      <c r="M215" s="4">
        <v>1.3009432521143371</v>
      </c>
      <c r="N215" s="4">
        <v>1.2568707519252329</v>
      </c>
      <c r="O215" s="4">
        <v>1.2864979292333645</v>
      </c>
      <c r="P215" s="4">
        <v>1.2740506469544057</v>
      </c>
      <c r="Q215" s="4">
        <v>1.1494235916302311</v>
      </c>
      <c r="R215" s="4">
        <f t="shared" si="18"/>
        <v>1.2552621136441355</v>
      </c>
      <c r="S215" s="2">
        <f t="shared" si="19"/>
        <v>0.25526211364413554</v>
      </c>
    </row>
    <row r="216" spans="12:19" x14ac:dyDescent="0.25">
      <c r="L216" s="11">
        <v>202</v>
      </c>
      <c r="M216" s="4">
        <v>1.253895453095091</v>
      </c>
      <c r="N216" s="4">
        <v>1.1743866710136763</v>
      </c>
      <c r="O216" s="4">
        <v>1.2221841449908051</v>
      </c>
      <c r="P216" s="4">
        <v>1.2096880543248574</v>
      </c>
      <c r="Q216" s="4">
        <v>1.1143258537099505</v>
      </c>
      <c r="R216" s="4">
        <f t="shared" si="18"/>
        <v>1.1971330613760873</v>
      </c>
      <c r="S216" s="2">
        <f t="shared" si="19"/>
        <v>0.19713306137608733</v>
      </c>
    </row>
    <row r="217" spans="12:19" x14ac:dyDescent="0.25">
      <c r="L217" s="11">
        <v>203</v>
      </c>
      <c r="M217" s="4">
        <v>1.5256686456567652</v>
      </c>
      <c r="N217" s="4">
        <v>1.0645615196131712</v>
      </c>
      <c r="O217" s="4">
        <v>1.2034873159757762</v>
      </c>
      <c r="P217" s="4">
        <v>1.3175871182158403</v>
      </c>
      <c r="Q217" s="4">
        <v>1.2006977146732363</v>
      </c>
      <c r="R217" s="4">
        <f t="shared" si="18"/>
        <v>1.2678674999017394</v>
      </c>
      <c r="S217" s="2">
        <f t="shared" si="19"/>
        <v>0.26786749990173941</v>
      </c>
    </row>
    <row r="218" spans="12:19" x14ac:dyDescent="0.25">
      <c r="L218" s="11">
        <v>204</v>
      </c>
      <c r="M218" s="4">
        <v>1.2988751110653727</v>
      </c>
      <c r="N218" s="4">
        <v>1.0723167190337712</v>
      </c>
      <c r="O218" s="4">
        <v>1.2954413123794477</v>
      </c>
      <c r="P218" s="4">
        <v>1.2656372326976324</v>
      </c>
      <c r="Q218" s="4">
        <v>1.1973259604801429</v>
      </c>
      <c r="R218" s="4">
        <f t="shared" si="18"/>
        <v>1.2349572060553311</v>
      </c>
      <c r="S218" s="2">
        <f t="shared" si="19"/>
        <v>0.2349572060553311</v>
      </c>
    </row>
    <row r="219" spans="12:19" x14ac:dyDescent="0.25">
      <c r="L219" s="11">
        <v>205</v>
      </c>
      <c r="M219" s="4">
        <v>1.0140834742739753</v>
      </c>
      <c r="N219" s="4">
        <v>1.0824824154352823</v>
      </c>
      <c r="O219" s="4">
        <v>1.3134918727809342</v>
      </c>
      <c r="P219" s="4">
        <v>1.0883410532445736</v>
      </c>
      <c r="Q219" s="4">
        <v>1.0609763776493459</v>
      </c>
      <c r="R219" s="4">
        <f t="shared" si="18"/>
        <v>1.1213804118270148</v>
      </c>
      <c r="S219" s="2">
        <f t="shared" si="19"/>
        <v>0.12138041182701476</v>
      </c>
    </row>
    <row r="220" spans="12:19" x14ac:dyDescent="0.25">
      <c r="L220" s="11">
        <v>206</v>
      </c>
      <c r="M220" s="4">
        <v>0.60538373025845882</v>
      </c>
      <c r="N220" s="4">
        <v>0.8078349359110506</v>
      </c>
      <c r="O220" s="4">
        <v>0.90564823684615803</v>
      </c>
      <c r="P220" s="4">
        <v>0.7556284272985675</v>
      </c>
      <c r="Q220" s="4">
        <v>0.87112378505440857</v>
      </c>
      <c r="R220" s="4">
        <f t="shared" si="18"/>
        <v>0.79285203863692932</v>
      </c>
      <c r="S220" s="2">
        <f t="shared" si="19"/>
        <v>-0.20714796136307068</v>
      </c>
    </row>
    <row r="221" spans="12:19" x14ac:dyDescent="0.25">
      <c r="L221" s="11">
        <v>207</v>
      </c>
      <c r="M221" s="4">
        <v>1.8157526481065467</v>
      </c>
      <c r="N221" s="4">
        <v>1.132214985153094</v>
      </c>
      <c r="O221" s="4">
        <v>1.3782464967363639</v>
      </c>
      <c r="P221" s="4">
        <v>1.4859557220943467</v>
      </c>
      <c r="Q221" s="4">
        <v>1.2581941133496375</v>
      </c>
      <c r="R221" s="4">
        <f t="shared" si="18"/>
        <v>1.4239933806841019</v>
      </c>
      <c r="S221" s="2">
        <f t="shared" si="19"/>
        <v>0.42399338068410186</v>
      </c>
    </row>
    <row r="222" spans="12:19" x14ac:dyDescent="0.25">
      <c r="L222" s="11">
        <v>208</v>
      </c>
      <c r="M222" s="4">
        <v>0.58221997058977049</v>
      </c>
      <c r="N222" s="4">
        <v>0.75758745947616268</v>
      </c>
      <c r="O222" s="4">
        <v>0.95438107186592236</v>
      </c>
      <c r="P222" s="4">
        <v>0.68515362570922567</v>
      </c>
      <c r="Q222" s="4">
        <v>0.87144217197056817</v>
      </c>
      <c r="R222" s="4">
        <f t="shared" si="18"/>
        <v>0.77738054359351949</v>
      </c>
      <c r="S222" s="2">
        <f t="shared" si="19"/>
        <v>-0.22261945640648051</v>
      </c>
    </row>
    <row r="223" spans="12:19" x14ac:dyDescent="0.25">
      <c r="L223" s="11">
        <v>209</v>
      </c>
      <c r="M223" s="4">
        <v>1.9547565997581486</v>
      </c>
      <c r="N223" s="4">
        <v>1.2350770615725499</v>
      </c>
      <c r="O223" s="4">
        <v>1.5834175758736853</v>
      </c>
      <c r="P223" s="4">
        <v>1.6792692176329653</v>
      </c>
      <c r="Q223" s="4">
        <v>1.2967180750753626</v>
      </c>
      <c r="R223" s="4">
        <f t="shared" si="18"/>
        <v>1.5646732911920451</v>
      </c>
      <c r="S223" s="2">
        <f t="shared" si="19"/>
        <v>0.56467329119204512</v>
      </c>
    </row>
    <row r="224" spans="12:19" x14ac:dyDescent="0.25">
      <c r="L224" s="11">
        <v>210</v>
      </c>
      <c r="M224" s="4">
        <v>2.9476780474137771</v>
      </c>
      <c r="N224" s="4">
        <v>1.7348521000962334</v>
      </c>
      <c r="O224" s="4">
        <v>1.4865830058285252</v>
      </c>
      <c r="P224" s="4">
        <v>2.1384215314771722</v>
      </c>
      <c r="Q224" s="4">
        <v>1.504558146459763</v>
      </c>
      <c r="R224" s="4">
        <f t="shared" si="18"/>
        <v>1.9534259645440084</v>
      </c>
      <c r="S224" s="2">
        <f t="shared" si="19"/>
        <v>0.95342596454400841</v>
      </c>
    </row>
    <row r="225" spans="12:19" x14ac:dyDescent="0.25">
      <c r="L225" s="11">
        <v>211</v>
      </c>
      <c r="M225" s="4">
        <v>0.93008735991041003</v>
      </c>
      <c r="N225" s="4">
        <v>0.97533985717470573</v>
      </c>
      <c r="O225" s="4">
        <v>1.1244447198678122</v>
      </c>
      <c r="P225" s="4">
        <v>0.95760172062341198</v>
      </c>
      <c r="Q225" s="4">
        <v>1.0204326554512622</v>
      </c>
      <c r="R225" s="4">
        <f t="shared" si="18"/>
        <v>1.007290611665421</v>
      </c>
      <c r="S225" s="2">
        <f t="shared" si="19"/>
        <v>7.2906116654209985E-3</v>
      </c>
    </row>
    <row r="226" spans="12:19" x14ac:dyDescent="0.25">
      <c r="L226" s="11">
        <v>212</v>
      </c>
      <c r="M226" s="4">
        <v>1.1521032238241475</v>
      </c>
      <c r="N226" s="4">
        <v>0.97821013062660145</v>
      </c>
      <c r="O226" s="4">
        <v>1.1434225912187519</v>
      </c>
      <c r="P226" s="4">
        <v>1.1314739791714119</v>
      </c>
      <c r="Q226" s="4">
        <v>1.11609494161484</v>
      </c>
      <c r="R226" s="4">
        <f t="shared" si="18"/>
        <v>1.1107887805895478</v>
      </c>
      <c r="S226" s="2">
        <f t="shared" si="19"/>
        <v>0.11078878058954778</v>
      </c>
    </row>
    <row r="227" spans="12:19" x14ac:dyDescent="0.25">
      <c r="L227" s="11">
        <v>213</v>
      </c>
      <c r="M227" s="4">
        <v>1.8180223392769261</v>
      </c>
      <c r="N227" s="4">
        <v>1.2106419873297445</v>
      </c>
      <c r="O227" s="4">
        <v>1.3006169571661859</v>
      </c>
      <c r="P227" s="4">
        <v>1.4246061042305054</v>
      </c>
      <c r="Q227" s="4">
        <v>1.2532385479710466</v>
      </c>
      <c r="R227" s="4">
        <f t="shared" si="18"/>
        <v>1.4047748319503139</v>
      </c>
      <c r="S227" s="2">
        <f t="shared" si="19"/>
        <v>0.40477483195031394</v>
      </c>
    </row>
    <row r="228" spans="12:19" x14ac:dyDescent="0.25">
      <c r="L228" s="11">
        <v>214</v>
      </c>
      <c r="M228" s="4">
        <v>1.1118674217286482</v>
      </c>
      <c r="N228" s="4">
        <v>1.2901778559015338</v>
      </c>
      <c r="O228" s="4">
        <v>1.0843713184431436</v>
      </c>
      <c r="P228" s="4">
        <v>1.2957841275801727</v>
      </c>
      <c r="Q228" s="4">
        <v>1.1399798513571853</v>
      </c>
      <c r="R228" s="4">
        <f t="shared" si="18"/>
        <v>1.1774341796888594</v>
      </c>
      <c r="S228" s="2">
        <f t="shared" si="19"/>
        <v>0.17743417968885944</v>
      </c>
    </row>
    <row r="229" spans="12:19" x14ac:dyDescent="0.25">
      <c r="L229" s="11">
        <v>215</v>
      </c>
      <c r="M229" s="4">
        <v>1.2559965533959339</v>
      </c>
      <c r="N229" s="4">
        <v>1.1597925803445441</v>
      </c>
      <c r="O229" s="4">
        <v>1.1164473467935478</v>
      </c>
      <c r="P229" s="4">
        <v>1.2022742233068662</v>
      </c>
      <c r="Q229" s="4">
        <v>1.1083119783470639</v>
      </c>
      <c r="R229" s="4">
        <f t="shared" si="18"/>
        <v>1.1671398331704657</v>
      </c>
      <c r="S229" s="2">
        <f t="shared" si="19"/>
        <v>0.16713983317046566</v>
      </c>
    </row>
    <row r="230" spans="12:19" x14ac:dyDescent="0.25">
      <c r="L230" s="11">
        <v>216</v>
      </c>
      <c r="M230" s="4">
        <v>1.2318479998753458</v>
      </c>
      <c r="N230" s="4">
        <v>1.2843847690749826</v>
      </c>
      <c r="O230" s="4">
        <v>1.1798800990108338</v>
      </c>
      <c r="P230" s="4">
        <v>1.1977247291859816</v>
      </c>
      <c r="Q230" s="4">
        <v>1.1246212725927724</v>
      </c>
      <c r="R230" s="4">
        <f t="shared" si="18"/>
        <v>1.1998413701565431</v>
      </c>
      <c r="S230" s="2">
        <f t="shared" si="19"/>
        <v>0.19984137015654313</v>
      </c>
    </row>
    <row r="231" spans="12:19" x14ac:dyDescent="0.25">
      <c r="L231" s="11">
        <v>217</v>
      </c>
      <c r="M231" s="4">
        <v>1.0429521228112537</v>
      </c>
      <c r="N231" s="4">
        <v>1.0191004564761679</v>
      </c>
      <c r="O231" s="4">
        <v>1.1692032461295974</v>
      </c>
      <c r="P231" s="4">
        <v>1.0731614745134939</v>
      </c>
      <c r="Q231" s="4">
        <v>1.0395098418608431</v>
      </c>
      <c r="R231" s="4">
        <f t="shared" si="18"/>
        <v>1.074970191377971</v>
      </c>
      <c r="S231" s="2">
        <f t="shared" si="19"/>
        <v>7.4970191377971007E-2</v>
      </c>
    </row>
    <row r="232" spans="12:19" x14ac:dyDescent="0.25">
      <c r="L232" s="11">
        <v>218</v>
      </c>
      <c r="M232" s="4">
        <v>1.2678108657175373</v>
      </c>
      <c r="N232" s="4">
        <v>0.98725109817344892</v>
      </c>
      <c r="O232" s="4">
        <v>1.3424534271708091</v>
      </c>
      <c r="P232" s="4">
        <v>1.2387988230813116</v>
      </c>
      <c r="Q232" s="4">
        <v>1.1754983662857217</v>
      </c>
      <c r="R232" s="4">
        <f t="shared" si="18"/>
        <v>1.216616911761585</v>
      </c>
      <c r="S232" s="2">
        <f t="shared" si="19"/>
        <v>0.21661691176158504</v>
      </c>
    </row>
    <row r="233" spans="12:19" x14ac:dyDescent="0.25">
      <c r="L233" s="11">
        <v>219</v>
      </c>
      <c r="M233" s="4">
        <v>0.61587799626973538</v>
      </c>
      <c r="N233" s="4">
        <v>0.6363225167543205</v>
      </c>
      <c r="O233" s="4">
        <v>0.95669004365749744</v>
      </c>
      <c r="P233" s="4">
        <v>0.70405521455460474</v>
      </c>
      <c r="Q233" s="4">
        <v>0.8561359671072104</v>
      </c>
      <c r="R233" s="4">
        <f t="shared" si="18"/>
        <v>0.76602112044426807</v>
      </c>
      <c r="S233" s="2">
        <f t="shared" si="19"/>
        <v>-0.23397887955573193</v>
      </c>
    </row>
    <row r="234" spans="12:19" x14ac:dyDescent="0.25">
      <c r="L234" s="11">
        <v>220</v>
      </c>
      <c r="M234" s="4">
        <v>2.4989651979893059</v>
      </c>
      <c r="N234" s="4">
        <v>1.472100131798376</v>
      </c>
      <c r="O234" s="4">
        <v>1.5109980659376516</v>
      </c>
      <c r="P234" s="4">
        <v>1.9614072676720495</v>
      </c>
      <c r="Q234" s="4">
        <v>1.4205113871580526</v>
      </c>
      <c r="R234" s="4">
        <f t="shared" si="18"/>
        <v>1.775406866508608</v>
      </c>
      <c r="S234" s="2">
        <f t="shared" si="19"/>
        <v>0.77540686650860802</v>
      </c>
    </row>
    <row r="235" spans="12:19" x14ac:dyDescent="0.25">
      <c r="L235" s="11">
        <v>221</v>
      </c>
      <c r="M235" s="4">
        <v>0.82895775069134037</v>
      </c>
      <c r="N235" s="4">
        <v>1.0141291712850138</v>
      </c>
      <c r="O235" s="4">
        <v>1.1780320560171953</v>
      </c>
      <c r="P235" s="4">
        <v>0.92786293266611697</v>
      </c>
      <c r="Q235" s="4">
        <v>1.0142023049226114</v>
      </c>
      <c r="R235" s="4">
        <f t="shared" si="18"/>
        <v>0.9990281762665929</v>
      </c>
      <c r="S235" s="2">
        <f t="shared" si="19"/>
        <v>-9.718237334070956E-4</v>
      </c>
    </row>
    <row r="236" spans="12:19" x14ac:dyDescent="0.25">
      <c r="L236" s="11">
        <v>222</v>
      </c>
      <c r="M236" s="4">
        <v>1.0988317439494972</v>
      </c>
      <c r="N236" s="4">
        <v>1.245448956195073</v>
      </c>
      <c r="O236" s="4">
        <v>1.1674165407088433</v>
      </c>
      <c r="P236" s="4">
        <v>1.1076065302888281</v>
      </c>
      <c r="Q236" s="4">
        <v>1.0715420718563957</v>
      </c>
      <c r="R236" s="4">
        <f t="shared" si="18"/>
        <v>1.1353231627298437</v>
      </c>
      <c r="S236" s="2">
        <f t="shared" si="19"/>
        <v>0.13532316272984368</v>
      </c>
    </row>
    <row r="237" spans="12:19" x14ac:dyDescent="0.25">
      <c r="L237" s="11">
        <v>223</v>
      </c>
      <c r="M237" s="4">
        <v>1.4957149353146759</v>
      </c>
      <c r="N237" s="4">
        <v>1.4063794996301429</v>
      </c>
      <c r="O237" s="4">
        <v>1.2672235926822466</v>
      </c>
      <c r="P237" s="4">
        <v>1.352027460324035</v>
      </c>
      <c r="Q237" s="4">
        <v>1.1777262524417822</v>
      </c>
      <c r="R237" s="4">
        <f t="shared" si="18"/>
        <v>1.3347896972067042</v>
      </c>
      <c r="S237" s="2">
        <f t="shared" si="19"/>
        <v>0.33478969720670415</v>
      </c>
    </row>
    <row r="238" spans="12:19" x14ac:dyDescent="0.25">
      <c r="L238" s="11">
        <v>224</v>
      </c>
      <c r="M238" s="4">
        <v>0.50782473603422196</v>
      </c>
      <c r="N238" s="4">
        <v>0.7044471291460993</v>
      </c>
      <c r="O238" s="4">
        <v>0.79587637017177393</v>
      </c>
      <c r="P238" s="4">
        <v>0.62938099649623325</v>
      </c>
      <c r="Q238" s="4">
        <v>0.8397580124358871</v>
      </c>
      <c r="R238" s="4">
        <f t="shared" si="18"/>
        <v>0.69841708876495034</v>
      </c>
      <c r="S238" s="2">
        <f t="shared" si="19"/>
        <v>-0.30158291123504966</v>
      </c>
    </row>
    <row r="239" spans="12:19" x14ac:dyDescent="0.25">
      <c r="L239" s="11">
        <v>225</v>
      </c>
      <c r="M239" s="4">
        <v>0.35124682911762084</v>
      </c>
      <c r="N239" s="4">
        <v>0.80749097339139775</v>
      </c>
      <c r="O239" s="4">
        <v>0.93470524744041417</v>
      </c>
      <c r="P239" s="4">
        <v>0.56234640631830934</v>
      </c>
      <c r="Q239" s="4">
        <v>0.7608912391457151</v>
      </c>
      <c r="R239" s="4">
        <f t="shared" si="18"/>
        <v>0.68807570710336119</v>
      </c>
      <c r="S239" s="2">
        <f t="shared" si="19"/>
        <v>-0.31192429289663881</v>
      </c>
    </row>
    <row r="240" spans="12:19" x14ac:dyDescent="0.25">
      <c r="L240" s="11">
        <v>226</v>
      </c>
      <c r="M240" s="4">
        <v>0.83938344803824561</v>
      </c>
      <c r="N240" s="4">
        <v>0.81513102745096466</v>
      </c>
      <c r="O240" s="4">
        <v>0.92246546654279504</v>
      </c>
      <c r="P240" s="4">
        <v>0.91179064410137445</v>
      </c>
      <c r="Q240" s="4">
        <v>0.96568740663319752</v>
      </c>
      <c r="R240" s="4">
        <f t="shared" si="18"/>
        <v>0.89503490597233304</v>
      </c>
      <c r="S240" s="2">
        <f t="shared" si="19"/>
        <v>-0.10496509402766696</v>
      </c>
    </row>
    <row r="241" spans="12:19" x14ac:dyDescent="0.25">
      <c r="L241" s="11">
        <v>227</v>
      </c>
      <c r="M241" s="4">
        <v>0.90512569807783994</v>
      </c>
      <c r="N241" s="4">
        <v>0.99913950054073664</v>
      </c>
      <c r="O241" s="4">
        <v>0.98889140145631038</v>
      </c>
      <c r="P241" s="4">
        <v>0.93310244076933413</v>
      </c>
      <c r="Q241" s="4">
        <v>0.98882266942475017</v>
      </c>
      <c r="R241" s="4">
        <f t="shared" si="18"/>
        <v>0.96244006408282856</v>
      </c>
      <c r="S241" s="2">
        <f t="shared" si="19"/>
        <v>-3.7559935917171439E-2</v>
      </c>
    </row>
    <row r="242" spans="12:19" x14ac:dyDescent="0.25">
      <c r="L242" s="11">
        <v>228</v>
      </c>
      <c r="M242" s="4">
        <v>2.8037906646762094</v>
      </c>
      <c r="N242" s="4">
        <v>1.6557336258069855</v>
      </c>
      <c r="O242" s="4">
        <v>1.3597339344549575</v>
      </c>
      <c r="P242" s="4">
        <v>2.0427843020298857</v>
      </c>
      <c r="Q242" s="4">
        <v>1.4332316232759599</v>
      </c>
      <c r="R242" s="4">
        <f t="shared" si="18"/>
        <v>1.8481700294688537</v>
      </c>
      <c r="S242" s="2">
        <f t="shared" si="19"/>
        <v>0.84817002946885367</v>
      </c>
    </row>
    <row r="243" spans="12:19" x14ac:dyDescent="0.25">
      <c r="L243" s="11">
        <v>229</v>
      </c>
      <c r="M243" s="4">
        <v>1.2002503686502493</v>
      </c>
      <c r="N243" s="4">
        <v>1.3231842496796793</v>
      </c>
      <c r="O243" s="4">
        <v>1.3947474280216641</v>
      </c>
      <c r="P243" s="4">
        <v>1.2872800903163877</v>
      </c>
      <c r="Q243" s="4">
        <v>1.122700700170316</v>
      </c>
      <c r="R243" s="4">
        <f t="shared" si="18"/>
        <v>1.2695003780238225</v>
      </c>
      <c r="S243" s="2">
        <f t="shared" si="19"/>
        <v>0.26950037802382254</v>
      </c>
    </row>
    <row r="244" spans="12:19" x14ac:dyDescent="0.25">
      <c r="L244" s="11">
        <v>230</v>
      </c>
      <c r="M244" s="4">
        <v>1.7641797454714725</v>
      </c>
      <c r="N244" s="4">
        <v>1.4914436497118793</v>
      </c>
      <c r="O244" s="4">
        <v>1.3518893501267659</v>
      </c>
      <c r="P244" s="4">
        <v>1.5986944299944359</v>
      </c>
      <c r="Q244" s="4">
        <v>1.2516949339606944</v>
      </c>
      <c r="R244" s="4">
        <f t="shared" si="18"/>
        <v>1.4872394099455253</v>
      </c>
      <c r="S244" s="2">
        <f t="shared" si="19"/>
        <v>0.48723940994552528</v>
      </c>
    </row>
    <row r="245" spans="12:19" x14ac:dyDescent="0.25">
      <c r="L245" s="11">
        <v>231</v>
      </c>
      <c r="M245" s="4">
        <v>1.1422294795188344</v>
      </c>
      <c r="N245" s="4">
        <v>1.0627724377117218</v>
      </c>
      <c r="O245" s="4">
        <v>1.0619244823344924</v>
      </c>
      <c r="P245" s="4">
        <v>1.0620632427385361</v>
      </c>
      <c r="Q245" s="4">
        <v>1.0747150137955264</v>
      </c>
      <c r="R245" s="4">
        <f t="shared" si="18"/>
        <v>1.0804524916868143</v>
      </c>
      <c r="S245" s="2">
        <f t="shared" si="19"/>
        <v>8.0452491686814342E-2</v>
      </c>
    </row>
    <row r="246" spans="12:19" x14ac:dyDescent="0.25">
      <c r="L246" s="11">
        <v>232</v>
      </c>
      <c r="M246" s="4">
        <v>0.77522449113521008</v>
      </c>
      <c r="N246" s="4">
        <v>1.1490655099173617</v>
      </c>
      <c r="O246" s="4">
        <v>1.0302936297386747</v>
      </c>
      <c r="P246" s="4">
        <v>0.82002704835934737</v>
      </c>
      <c r="Q246" s="4">
        <v>0.94566918465141281</v>
      </c>
      <c r="R246" s="4">
        <f t="shared" si="18"/>
        <v>0.93899004053404678</v>
      </c>
      <c r="S246" s="2">
        <f t="shared" si="19"/>
        <v>-6.1009959465953223E-2</v>
      </c>
    </row>
    <row r="247" spans="12:19" x14ac:dyDescent="0.25">
      <c r="L247" s="11">
        <v>233</v>
      </c>
      <c r="M247" s="4">
        <v>2.3418324506892336</v>
      </c>
      <c r="N247" s="4">
        <v>1.5547381465937931</v>
      </c>
      <c r="O247" s="4">
        <v>1.5732477559888289</v>
      </c>
      <c r="P247" s="4">
        <v>1.8349618576635596</v>
      </c>
      <c r="Q247" s="4">
        <v>1.3869288543653344</v>
      </c>
      <c r="R247" s="4">
        <f t="shared" si="18"/>
        <v>1.7398689379676802</v>
      </c>
      <c r="S247" s="2">
        <f t="shared" si="19"/>
        <v>0.73986893796768016</v>
      </c>
    </row>
    <row r="248" spans="12:19" x14ac:dyDescent="0.25">
      <c r="L248" s="11">
        <v>234</v>
      </c>
      <c r="M248" s="4">
        <v>1.8999270182631232</v>
      </c>
      <c r="N248" s="4">
        <v>1.491124415245259</v>
      </c>
      <c r="O248" s="4">
        <v>1.375580981186862</v>
      </c>
      <c r="P248" s="4">
        <v>1.6787075827716276</v>
      </c>
      <c r="Q248" s="4">
        <v>1.3191668071164926</v>
      </c>
      <c r="R248" s="4">
        <f t="shared" si="18"/>
        <v>1.5494029853084015</v>
      </c>
      <c r="S248" s="2">
        <f t="shared" si="19"/>
        <v>0.54940298530840148</v>
      </c>
    </row>
    <row r="249" spans="12:19" x14ac:dyDescent="0.25">
      <c r="L249" s="11">
        <v>235</v>
      </c>
      <c r="M249" s="4">
        <v>0.84487033341294082</v>
      </c>
      <c r="N249" s="4">
        <v>1.0452928675439537</v>
      </c>
      <c r="O249" s="4">
        <v>1.0158744674986921</v>
      </c>
      <c r="P249" s="4">
        <v>0.93339463929151967</v>
      </c>
      <c r="Q249" s="4">
        <v>1.0427922933862295</v>
      </c>
      <c r="R249" s="4">
        <f t="shared" si="18"/>
        <v>0.97501622537541932</v>
      </c>
      <c r="S249" s="2">
        <f t="shared" si="19"/>
        <v>-2.4983774624580679E-2</v>
      </c>
    </row>
    <row r="250" spans="12:19" x14ac:dyDescent="0.25">
      <c r="L250" s="11">
        <v>236</v>
      </c>
      <c r="M250" s="4">
        <v>1.9274387162555933</v>
      </c>
      <c r="N250" s="4">
        <v>1.2795473460349278</v>
      </c>
      <c r="O250" s="4">
        <v>1.292790189996833</v>
      </c>
      <c r="P250" s="4">
        <v>1.5226971164288585</v>
      </c>
      <c r="Q250" s="4">
        <v>1.2751020907775115</v>
      </c>
      <c r="R250" s="4">
        <f t="shared" si="18"/>
        <v>1.4601347445104809</v>
      </c>
      <c r="S250" s="2">
        <f t="shared" si="19"/>
        <v>0.46013474451048086</v>
      </c>
    </row>
    <row r="251" spans="12:19" x14ac:dyDescent="0.25">
      <c r="L251" s="11">
        <v>237</v>
      </c>
      <c r="M251" s="4">
        <v>1.0064458459948151</v>
      </c>
      <c r="N251" s="4">
        <v>1.0464450838472639</v>
      </c>
      <c r="O251" s="4">
        <v>1.114736927240253</v>
      </c>
      <c r="P251" s="4">
        <v>1.0659162674530063</v>
      </c>
      <c r="Q251" s="4">
        <v>1.0336210426734334</v>
      </c>
      <c r="R251" s="4">
        <f t="shared" si="18"/>
        <v>1.0564417467850575</v>
      </c>
      <c r="S251" s="2">
        <f t="shared" si="19"/>
        <v>5.6441746785057534E-2</v>
      </c>
    </row>
    <row r="252" spans="12:19" x14ac:dyDescent="0.25">
      <c r="L252" s="11">
        <v>238</v>
      </c>
      <c r="M252" s="4">
        <v>0.80384228039235983</v>
      </c>
      <c r="N252" s="4">
        <v>1.0249887773061905</v>
      </c>
      <c r="O252" s="4">
        <v>1.1685090173514394</v>
      </c>
      <c r="P252" s="4">
        <v>0.95885651955674001</v>
      </c>
      <c r="Q252" s="4">
        <v>1.0139856495852544</v>
      </c>
      <c r="R252" s="4">
        <f t="shared" si="18"/>
        <v>0.99989257416539501</v>
      </c>
      <c r="S252" s="2">
        <f t="shared" si="19"/>
        <v>-1.0742583460499056E-4</v>
      </c>
    </row>
    <row r="253" spans="12:19" x14ac:dyDescent="0.25">
      <c r="L253" s="11">
        <v>239</v>
      </c>
      <c r="M253" s="4">
        <v>1.5804415383920185</v>
      </c>
      <c r="N253" s="4">
        <v>1.0457325414796561</v>
      </c>
      <c r="O253" s="4">
        <v>1.1802335989642911</v>
      </c>
      <c r="P253" s="4">
        <v>1.3479006549190127</v>
      </c>
      <c r="Q253" s="4">
        <v>1.2006808333288546</v>
      </c>
      <c r="R253" s="4">
        <f t="shared" si="18"/>
        <v>1.2763516339227332</v>
      </c>
      <c r="S253" s="2">
        <f t="shared" si="19"/>
        <v>0.27635163392273321</v>
      </c>
    </row>
    <row r="254" spans="12:19" x14ac:dyDescent="0.25">
      <c r="L254" s="11">
        <v>240</v>
      </c>
      <c r="M254" s="4">
        <v>1.2525744144988205</v>
      </c>
      <c r="N254" s="4">
        <v>1.1917110739424599</v>
      </c>
      <c r="O254" s="4">
        <v>1.1531315051575615</v>
      </c>
      <c r="P254" s="4">
        <v>1.1564331969492407</v>
      </c>
      <c r="Q254" s="4">
        <v>1.1002735027935495</v>
      </c>
      <c r="R254" s="4">
        <f t="shared" si="18"/>
        <v>1.1693426138236793</v>
      </c>
      <c r="S254" s="2">
        <f t="shared" si="19"/>
        <v>0.16934261382367932</v>
      </c>
    </row>
    <row r="255" spans="12:19" x14ac:dyDescent="0.25">
      <c r="L255" s="11">
        <v>241</v>
      </c>
      <c r="M255" s="4">
        <v>0.94903765829712738</v>
      </c>
      <c r="N255" s="4">
        <v>1.0375200089937979</v>
      </c>
      <c r="O255" s="4">
        <v>1.031368840595084</v>
      </c>
      <c r="P255" s="4">
        <v>1.069584977413724</v>
      </c>
      <c r="Q255" s="4">
        <v>1.0954752814821531</v>
      </c>
      <c r="R255" s="4">
        <f t="shared" si="18"/>
        <v>1.0365047918055368</v>
      </c>
      <c r="S255" s="2">
        <f t="shared" si="19"/>
        <v>3.6504791805536785E-2</v>
      </c>
    </row>
    <row r="256" spans="12:19" x14ac:dyDescent="0.25">
      <c r="L256" s="11">
        <v>242</v>
      </c>
      <c r="M256" s="4">
        <v>1.1938282385771199</v>
      </c>
      <c r="N256" s="4">
        <v>1.0004179004879128</v>
      </c>
      <c r="O256" s="4">
        <v>1.0694373473036134</v>
      </c>
      <c r="P256" s="4">
        <v>1.0822466482914408</v>
      </c>
      <c r="Q256" s="4">
        <v>1.0987999661381251</v>
      </c>
      <c r="R256" s="4">
        <f t="shared" si="18"/>
        <v>1.0913046911940052</v>
      </c>
      <c r="S256" s="2">
        <f t="shared" si="19"/>
        <v>9.1304691194005194E-2</v>
      </c>
    </row>
    <row r="257" spans="12:19" x14ac:dyDescent="0.25">
      <c r="L257" s="11">
        <v>243</v>
      </c>
      <c r="M257" s="4">
        <v>1.5249274977396754</v>
      </c>
      <c r="N257" s="4">
        <v>1.1917569498866747</v>
      </c>
      <c r="O257" s="4">
        <v>1.4824983777957417</v>
      </c>
      <c r="P257" s="4">
        <v>1.4517771703894906</v>
      </c>
      <c r="Q257" s="4">
        <v>1.1945726979736662</v>
      </c>
      <c r="R257" s="4">
        <f t="shared" si="18"/>
        <v>1.3816152731160352</v>
      </c>
      <c r="S257" s="2">
        <f t="shared" si="19"/>
        <v>0.38161527311603516</v>
      </c>
    </row>
    <row r="258" spans="12:19" x14ac:dyDescent="0.25">
      <c r="L258" s="11">
        <v>244</v>
      </c>
      <c r="M258" s="4">
        <v>0.93564170593239371</v>
      </c>
      <c r="N258" s="4">
        <v>1.0941376406005821</v>
      </c>
      <c r="O258" s="4">
        <v>1.0434309687830159</v>
      </c>
      <c r="P258" s="4">
        <v>0.95699152035893975</v>
      </c>
      <c r="Q258" s="4">
        <v>1.025621433452869</v>
      </c>
      <c r="R258" s="4">
        <f t="shared" si="18"/>
        <v>1.0089336513091161</v>
      </c>
      <c r="S258" s="2">
        <f t="shared" si="19"/>
        <v>8.933651309116053E-3</v>
      </c>
    </row>
    <row r="259" spans="12:19" x14ac:dyDescent="0.25">
      <c r="L259" s="11">
        <v>245</v>
      </c>
      <c r="M259" s="4">
        <v>1.2508552054727895</v>
      </c>
      <c r="N259" s="4">
        <v>1.0353655828335291</v>
      </c>
      <c r="O259" s="4">
        <v>1.2199007678145046</v>
      </c>
      <c r="P259" s="4">
        <v>1.2301230099982012</v>
      </c>
      <c r="Q259" s="4">
        <v>1.176560989028328</v>
      </c>
      <c r="R259" s="4">
        <f t="shared" si="18"/>
        <v>1.1900215044182449</v>
      </c>
      <c r="S259" s="2">
        <f t="shared" si="19"/>
        <v>0.19002150441824495</v>
      </c>
    </row>
    <row r="260" spans="12:19" x14ac:dyDescent="0.25">
      <c r="L260" s="11">
        <v>246</v>
      </c>
      <c r="M260" s="4">
        <v>4.3244631151755089</v>
      </c>
      <c r="N260" s="4">
        <v>1.9863690790957194</v>
      </c>
      <c r="O260" s="4">
        <v>1.8543052982131349</v>
      </c>
      <c r="P260" s="4">
        <v>2.9191400741536233</v>
      </c>
      <c r="Q260" s="4">
        <v>1.7660883496506319</v>
      </c>
      <c r="R260" s="4">
        <f t="shared" si="18"/>
        <v>2.5665035786248676</v>
      </c>
      <c r="S260" s="2">
        <f t="shared" si="19"/>
        <v>1.5665035786248676</v>
      </c>
    </row>
    <row r="261" spans="12:19" x14ac:dyDescent="0.25">
      <c r="L261" s="11">
        <v>247</v>
      </c>
      <c r="M261" s="4">
        <v>1.235742519571291</v>
      </c>
      <c r="N261" s="4">
        <v>1.161203515240069</v>
      </c>
      <c r="O261" s="4">
        <v>1.2734273828039777</v>
      </c>
      <c r="P261" s="4">
        <v>1.2536021763338696</v>
      </c>
      <c r="Q261" s="4">
        <v>1.1589094026856646</v>
      </c>
      <c r="R261" s="4">
        <f t="shared" si="18"/>
        <v>1.2214987378019138</v>
      </c>
      <c r="S261" s="2">
        <f t="shared" si="19"/>
        <v>0.22149873780191376</v>
      </c>
    </row>
    <row r="262" spans="12:19" x14ac:dyDescent="0.25">
      <c r="L262" s="11">
        <v>248</v>
      </c>
      <c r="M262" s="4">
        <v>1.3926533064777729</v>
      </c>
      <c r="N262" s="4">
        <v>0.99502516578375599</v>
      </c>
      <c r="O262" s="4">
        <v>1.2001212086796318</v>
      </c>
      <c r="P262" s="4">
        <v>1.285204805046456</v>
      </c>
      <c r="Q262" s="4">
        <v>1.1359054298145448</v>
      </c>
      <c r="R262" s="4">
        <f t="shared" si="18"/>
        <v>1.2102650836444864</v>
      </c>
      <c r="S262" s="2">
        <f t="shared" si="19"/>
        <v>0.21026508364448637</v>
      </c>
    </row>
    <row r="263" spans="12:19" x14ac:dyDescent="0.25">
      <c r="L263" s="11">
        <v>249</v>
      </c>
      <c r="M263" s="4">
        <v>2.7649810027754333</v>
      </c>
      <c r="N263" s="4">
        <v>1.2392156059558088</v>
      </c>
      <c r="O263" s="4">
        <v>1.4074438814621708</v>
      </c>
      <c r="P263" s="4">
        <v>1.9842484411919821</v>
      </c>
      <c r="Q263" s="4">
        <v>1.4689677531498153</v>
      </c>
      <c r="R263" s="4">
        <f t="shared" si="18"/>
        <v>1.779895837937381</v>
      </c>
      <c r="S263" s="2">
        <f t="shared" si="19"/>
        <v>0.77989583793738104</v>
      </c>
    </row>
    <row r="264" spans="12:19" x14ac:dyDescent="0.25">
      <c r="L264" s="11">
        <v>250</v>
      </c>
      <c r="M264" s="4">
        <v>2.3059611732477858</v>
      </c>
      <c r="N264" s="4">
        <v>1.5234445038341786</v>
      </c>
      <c r="O264" s="4">
        <v>1.4961567757667746</v>
      </c>
      <c r="P264" s="4">
        <v>1.7649004932115231</v>
      </c>
      <c r="Q264" s="4">
        <v>1.3729286837780028</v>
      </c>
      <c r="R264" s="4">
        <f t="shared" si="18"/>
        <v>1.6920485853313576</v>
      </c>
      <c r="S264" s="2">
        <f t="shared" si="19"/>
        <v>0.6920485853313576</v>
      </c>
    </row>
    <row r="265" spans="12:19" x14ac:dyDescent="0.25">
      <c r="L265" s="11">
        <v>251</v>
      </c>
      <c r="M265" s="4">
        <v>0.67541433925108529</v>
      </c>
      <c r="N265" s="4">
        <v>0.92643322026436237</v>
      </c>
      <c r="O265" s="4">
        <v>1.0438156577031497</v>
      </c>
      <c r="P265" s="4">
        <v>0.7849385314775581</v>
      </c>
      <c r="Q265" s="4">
        <v>0.93644516171041992</v>
      </c>
      <c r="R265" s="4">
        <f t="shared" si="18"/>
        <v>0.87768776556009909</v>
      </c>
      <c r="S265" s="2">
        <f t="shared" si="19"/>
        <v>-0.12231223443990091</v>
      </c>
    </row>
    <row r="266" spans="12:19" x14ac:dyDescent="0.25">
      <c r="L266" s="11">
        <v>252</v>
      </c>
      <c r="M266" s="4">
        <v>0.70148828462052926</v>
      </c>
      <c r="N266" s="4">
        <v>0.9978964036567084</v>
      </c>
      <c r="O266" s="4">
        <v>1.0314954667206691</v>
      </c>
      <c r="P266" s="4">
        <v>0.81700793766583779</v>
      </c>
      <c r="Q266" s="4">
        <v>0.96500483963879835</v>
      </c>
      <c r="R266" s="4">
        <f t="shared" si="18"/>
        <v>0.90357170556953681</v>
      </c>
      <c r="S266" s="2">
        <f t="shared" si="19"/>
        <v>-9.6428294430463191E-2</v>
      </c>
    </row>
    <row r="267" spans="12:19" x14ac:dyDescent="0.25">
      <c r="L267" s="11">
        <v>253</v>
      </c>
      <c r="M267" s="4">
        <v>1.033097593656179</v>
      </c>
      <c r="N267" s="4">
        <v>0.92724204997592785</v>
      </c>
      <c r="O267" s="4">
        <v>1.1995034720545008</v>
      </c>
      <c r="P267" s="4">
        <v>1.139508188622079</v>
      </c>
      <c r="Q267" s="4">
        <v>1.1301413200076507</v>
      </c>
      <c r="R267" s="4">
        <f t="shared" si="18"/>
        <v>1.0969387458658462</v>
      </c>
      <c r="S267" s="2">
        <f t="shared" si="19"/>
        <v>9.6938745865846165E-2</v>
      </c>
    </row>
    <row r="268" spans="12:19" x14ac:dyDescent="0.25">
      <c r="L268" s="11">
        <v>254</v>
      </c>
      <c r="M268" s="4">
        <v>1.0656843502282851</v>
      </c>
      <c r="N268" s="4">
        <v>0.99783694963206837</v>
      </c>
      <c r="O268" s="4">
        <v>1.1998053238571194</v>
      </c>
      <c r="P268" s="4">
        <v>1.1032414429229735</v>
      </c>
      <c r="Q268" s="4">
        <v>1.0852459546866802</v>
      </c>
      <c r="R268" s="4">
        <f t="shared" si="18"/>
        <v>1.098530390325285</v>
      </c>
      <c r="S268" s="2">
        <f t="shared" si="19"/>
        <v>9.8530390325284989E-2</v>
      </c>
    </row>
    <row r="269" spans="12:19" x14ac:dyDescent="0.25">
      <c r="L269" s="11">
        <v>255</v>
      </c>
      <c r="M269" s="4">
        <v>0.81967188163955329</v>
      </c>
      <c r="N269" s="4">
        <v>1.3082000055309191</v>
      </c>
      <c r="O269" s="4">
        <v>1.337468553848181</v>
      </c>
      <c r="P269" s="4">
        <v>1.0393008834322874</v>
      </c>
      <c r="Q269" s="4">
        <v>1.0596228580204772</v>
      </c>
      <c r="R269" s="4">
        <f t="shared" si="18"/>
        <v>1.1145813761633445</v>
      </c>
      <c r="S269" s="2">
        <f t="shared" si="19"/>
        <v>0.11458137616334452</v>
      </c>
    </row>
    <row r="270" spans="12:19" x14ac:dyDescent="0.25">
      <c r="L270" s="11">
        <v>256</v>
      </c>
      <c r="M270" s="4">
        <v>2.3726847760815111</v>
      </c>
      <c r="N270" s="4">
        <v>1.3764197950211388</v>
      </c>
      <c r="O270" s="4">
        <v>1.4721177194461781</v>
      </c>
      <c r="P270" s="4">
        <v>1.9560303303429358</v>
      </c>
      <c r="Q270" s="4">
        <v>1.3947401628161091</v>
      </c>
      <c r="R270" s="4">
        <f t="shared" si="18"/>
        <v>1.719617957291681</v>
      </c>
      <c r="S270" s="2">
        <f t="shared" si="19"/>
        <v>0.71961795729168099</v>
      </c>
    </row>
    <row r="271" spans="12:19" x14ac:dyDescent="0.25">
      <c r="L271" s="11">
        <v>257</v>
      </c>
      <c r="M271" s="4">
        <v>0.62094342618696596</v>
      </c>
      <c r="N271" s="4">
        <v>0.79466475837386052</v>
      </c>
      <c r="O271" s="4">
        <v>0.9284670362345544</v>
      </c>
      <c r="P271" s="4">
        <v>0.74306706140570256</v>
      </c>
      <c r="Q271" s="4">
        <v>0.87557598937250136</v>
      </c>
      <c r="R271" s="4">
        <f t="shared" ref="R271:R334" si="20">SUMPRODUCT(M271:Q271,$M$8:$Q$8)</f>
        <v>0.79755446957115206</v>
      </c>
      <c r="S271" s="2">
        <f t="shared" si="19"/>
        <v>-0.20244553042884794</v>
      </c>
    </row>
    <row r="272" spans="12:19" x14ac:dyDescent="0.25">
      <c r="L272" s="11">
        <v>258</v>
      </c>
      <c r="M272" s="4">
        <v>0.50635043926642886</v>
      </c>
      <c r="N272" s="4">
        <v>0.7777272559878976</v>
      </c>
      <c r="O272" s="4">
        <v>0.95292077138854381</v>
      </c>
      <c r="P272" s="4">
        <v>0.67810998293160563</v>
      </c>
      <c r="Q272" s="4">
        <v>0.85076716820581111</v>
      </c>
      <c r="R272" s="4">
        <f t="shared" si="20"/>
        <v>0.75978415243615727</v>
      </c>
      <c r="S272" s="2">
        <f t="shared" ref="S272:S335" si="21">R272-1</f>
        <v>-0.24021584756384273</v>
      </c>
    </row>
    <row r="273" spans="12:19" x14ac:dyDescent="0.25">
      <c r="L273" s="11">
        <v>259</v>
      </c>
      <c r="M273" s="4">
        <v>0.97703824718198562</v>
      </c>
      <c r="N273" s="4">
        <v>1.1592643158570273</v>
      </c>
      <c r="O273" s="4">
        <v>1.0230738148891301</v>
      </c>
      <c r="P273" s="4">
        <v>1.107386342669231</v>
      </c>
      <c r="Q273" s="4">
        <v>1.0358902522892501</v>
      </c>
      <c r="R273" s="4">
        <f t="shared" si="20"/>
        <v>1.0557928510200565</v>
      </c>
      <c r="S273" s="2">
        <f t="shared" si="21"/>
        <v>5.5792851020056489E-2</v>
      </c>
    </row>
    <row r="274" spans="12:19" x14ac:dyDescent="0.25">
      <c r="L274" s="11">
        <v>260</v>
      </c>
      <c r="M274" s="4">
        <v>1.4298144096054639</v>
      </c>
      <c r="N274" s="4">
        <v>1.1760884251067385</v>
      </c>
      <c r="O274" s="4">
        <v>1.1703097132557359</v>
      </c>
      <c r="P274" s="4">
        <v>1.2804119392667945</v>
      </c>
      <c r="Q274" s="4">
        <v>1.1560081188701246</v>
      </c>
      <c r="R274" s="4">
        <f t="shared" si="20"/>
        <v>1.2424821968831474</v>
      </c>
      <c r="S274" s="2">
        <f t="shared" si="21"/>
        <v>0.24248219688314743</v>
      </c>
    </row>
    <row r="275" spans="12:19" x14ac:dyDescent="0.25">
      <c r="L275" s="11">
        <v>261</v>
      </c>
      <c r="M275" s="4">
        <v>1.5919206361743414</v>
      </c>
      <c r="N275" s="4">
        <v>1.2297997320015124</v>
      </c>
      <c r="O275" s="4">
        <v>1.1644644625903831</v>
      </c>
      <c r="P275" s="4">
        <v>1.3833312452039368</v>
      </c>
      <c r="Q275" s="4">
        <v>1.1981831801287066</v>
      </c>
      <c r="R275" s="4">
        <f t="shared" si="20"/>
        <v>1.3112493712289748</v>
      </c>
      <c r="S275" s="2">
        <f t="shared" si="21"/>
        <v>0.31124937122897478</v>
      </c>
    </row>
    <row r="276" spans="12:19" x14ac:dyDescent="0.25">
      <c r="L276" s="11">
        <v>262</v>
      </c>
      <c r="M276" s="4">
        <v>3.111041033547552</v>
      </c>
      <c r="N276" s="4">
        <v>1.5304465090596833</v>
      </c>
      <c r="O276" s="4">
        <v>1.7916182239208758</v>
      </c>
      <c r="P276" s="4">
        <v>2.1734632656367361</v>
      </c>
      <c r="Q276" s="4">
        <v>1.5272689037345046</v>
      </c>
      <c r="R276" s="4">
        <f t="shared" si="20"/>
        <v>2.0376901117398711</v>
      </c>
      <c r="S276" s="2">
        <f t="shared" si="21"/>
        <v>1.0376901117398711</v>
      </c>
    </row>
    <row r="277" spans="12:19" x14ac:dyDescent="0.25">
      <c r="L277" s="11">
        <v>263</v>
      </c>
      <c r="M277" s="4">
        <v>1.8180603877016672</v>
      </c>
      <c r="N277" s="4">
        <v>1.532590975633755</v>
      </c>
      <c r="O277" s="4">
        <v>1.3102690964881631</v>
      </c>
      <c r="P277" s="4">
        <v>1.5787888790207016</v>
      </c>
      <c r="Q277" s="4">
        <v>1.3135031347954975</v>
      </c>
      <c r="R277" s="4">
        <f t="shared" si="20"/>
        <v>1.5024642740074079</v>
      </c>
      <c r="S277" s="2">
        <f t="shared" si="21"/>
        <v>0.5024642740074079</v>
      </c>
    </row>
    <row r="278" spans="12:19" x14ac:dyDescent="0.25">
      <c r="L278" s="11">
        <v>264</v>
      </c>
      <c r="M278" s="4">
        <v>1.2909468144607208</v>
      </c>
      <c r="N278" s="4">
        <v>1.194481253818503</v>
      </c>
      <c r="O278" s="4">
        <v>1.2864626396663228</v>
      </c>
      <c r="P278" s="4">
        <v>1.3633419947832306</v>
      </c>
      <c r="Q278" s="4">
        <v>1.1996815360691653</v>
      </c>
      <c r="R278" s="4">
        <f t="shared" si="20"/>
        <v>1.2715255677151693</v>
      </c>
      <c r="S278" s="2">
        <f t="shared" si="21"/>
        <v>0.27152556771516934</v>
      </c>
    </row>
    <row r="279" spans="12:19" x14ac:dyDescent="0.25">
      <c r="L279" s="11">
        <v>265</v>
      </c>
      <c r="M279" s="4">
        <v>2.0763220421057573</v>
      </c>
      <c r="N279" s="4">
        <v>1.901294438337491</v>
      </c>
      <c r="O279" s="4">
        <v>1.3441320684931679</v>
      </c>
      <c r="P279" s="4">
        <v>1.7930305961702258</v>
      </c>
      <c r="Q279" s="4">
        <v>1.3601287351054441</v>
      </c>
      <c r="R279" s="4">
        <f t="shared" si="20"/>
        <v>1.6742455715611859</v>
      </c>
      <c r="S279" s="2">
        <f t="shared" si="21"/>
        <v>0.67424557156118592</v>
      </c>
    </row>
    <row r="280" spans="12:19" x14ac:dyDescent="0.25">
      <c r="L280" s="11">
        <v>266</v>
      </c>
      <c r="M280" s="4">
        <v>1.7410240539214537</v>
      </c>
      <c r="N280" s="4">
        <v>1.2919316922079591</v>
      </c>
      <c r="O280" s="4">
        <v>1.2253421550852435</v>
      </c>
      <c r="P280" s="4">
        <v>1.4578951410080738</v>
      </c>
      <c r="Q280" s="4">
        <v>1.241617971009898</v>
      </c>
      <c r="R280" s="4">
        <f t="shared" si="20"/>
        <v>1.3891847904719856</v>
      </c>
      <c r="S280" s="2">
        <f t="shared" si="21"/>
        <v>0.38918479047198562</v>
      </c>
    </row>
    <row r="281" spans="12:19" x14ac:dyDescent="0.25">
      <c r="L281" s="11">
        <v>267</v>
      </c>
      <c r="M281" s="4">
        <v>0.85536275569380238</v>
      </c>
      <c r="N281" s="4">
        <v>0.914285426857818</v>
      </c>
      <c r="O281" s="4">
        <v>1.1843876009795347</v>
      </c>
      <c r="P281" s="4">
        <v>0.93971833842502439</v>
      </c>
      <c r="Q281" s="4">
        <v>0.99428437658691726</v>
      </c>
      <c r="R281" s="4">
        <f t="shared" si="20"/>
        <v>0.98829085767662184</v>
      </c>
      <c r="S281" s="2">
        <f t="shared" si="21"/>
        <v>-1.1709142323378163E-2</v>
      </c>
    </row>
    <row r="282" spans="12:19" x14ac:dyDescent="0.25">
      <c r="L282" s="11">
        <v>268</v>
      </c>
      <c r="M282" s="4">
        <v>0.99702306234685489</v>
      </c>
      <c r="N282" s="4">
        <v>1.032518234384926</v>
      </c>
      <c r="O282" s="4">
        <v>1.1419420517473287</v>
      </c>
      <c r="P282" s="4">
        <v>1.0322754481879433</v>
      </c>
      <c r="Q282" s="4">
        <v>1.0195509351906156</v>
      </c>
      <c r="R282" s="4">
        <f t="shared" si="20"/>
        <v>1.0491649153378098</v>
      </c>
      <c r="S282" s="2">
        <f t="shared" si="21"/>
        <v>4.9164915337809756E-2</v>
      </c>
    </row>
    <row r="283" spans="12:19" x14ac:dyDescent="0.25">
      <c r="L283" s="11">
        <v>269</v>
      </c>
      <c r="M283" s="4">
        <v>2.1676817274705473</v>
      </c>
      <c r="N283" s="4">
        <v>1.5445067982514673</v>
      </c>
      <c r="O283" s="4">
        <v>1.2699011114790568</v>
      </c>
      <c r="P283" s="4">
        <v>1.6936560953117989</v>
      </c>
      <c r="Q283" s="4">
        <v>1.3650327461250309</v>
      </c>
      <c r="R283" s="4">
        <f t="shared" si="20"/>
        <v>1.5975821874194023</v>
      </c>
      <c r="S283" s="2">
        <f t="shared" si="21"/>
        <v>0.59758218741940228</v>
      </c>
    </row>
    <row r="284" spans="12:19" x14ac:dyDescent="0.25">
      <c r="L284" s="11">
        <v>270</v>
      </c>
      <c r="M284" s="4">
        <v>1.4642256028302452</v>
      </c>
      <c r="N284" s="4">
        <v>1.1839803371665614</v>
      </c>
      <c r="O284" s="4">
        <v>1.3881900418860147</v>
      </c>
      <c r="P284" s="4">
        <v>1.3616166379449992</v>
      </c>
      <c r="Q284" s="4">
        <v>1.1860433222362792</v>
      </c>
      <c r="R284" s="4">
        <f t="shared" si="20"/>
        <v>1.3254508756793641</v>
      </c>
      <c r="S284" s="2">
        <f t="shared" si="21"/>
        <v>0.32545087567936415</v>
      </c>
    </row>
    <row r="285" spans="12:19" x14ac:dyDescent="0.25">
      <c r="L285" s="11">
        <v>271</v>
      </c>
      <c r="M285" s="4">
        <v>1.7545432134870635</v>
      </c>
      <c r="N285" s="4">
        <v>1.3524972633661416</v>
      </c>
      <c r="O285" s="4">
        <v>1.3813250051767527</v>
      </c>
      <c r="P285" s="4">
        <v>1.6791214332104547</v>
      </c>
      <c r="Q285" s="4">
        <v>1.2946804160474408</v>
      </c>
      <c r="R285" s="4">
        <f t="shared" si="20"/>
        <v>1.4950889748668834</v>
      </c>
      <c r="S285" s="2">
        <f t="shared" si="21"/>
        <v>0.49508897486688341</v>
      </c>
    </row>
    <row r="286" spans="12:19" x14ac:dyDescent="0.25">
      <c r="L286" s="11">
        <v>272</v>
      </c>
      <c r="M286" s="4">
        <v>1.3959693417471328</v>
      </c>
      <c r="N286" s="4">
        <v>1.0325485490196686</v>
      </c>
      <c r="O286" s="4">
        <v>1.2712901516956829</v>
      </c>
      <c r="P286" s="4">
        <v>1.2702240005218213</v>
      </c>
      <c r="Q286" s="4">
        <v>1.1492264575000213</v>
      </c>
      <c r="R286" s="4">
        <f t="shared" si="20"/>
        <v>1.2335191183399061</v>
      </c>
      <c r="S286" s="2">
        <f t="shared" si="21"/>
        <v>0.23351911833990613</v>
      </c>
    </row>
    <row r="287" spans="12:19" x14ac:dyDescent="0.25">
      <c r="L287" s="11">
        <v>273</v>
      </c>
      <c r="M287" s="4">
        <v>2.217288790083233</v>
      </c>
      <c r="N287" s="4">
        <v>1.4135490932817165</v>
      </c>
      <c r="O287" s="4">
        <v>1.3174612877510665</v>
      </c>
      <c r="P287" s="4">
        <v>1.6982530931173461</v>
      </c>
      <c r="Q287" s="4">
        <v>1.3186413880074881</v>
      </c>
      <c r="R287" s="4">
        <f t="shared" si="20"/>
        <v>1.5896432317107707</v>
      </c>
      <c r="S287" s="2">
        <f t="shared" si="21"/>
        <v>0.58964323171077071</v>
      </c>
    </row>
    <row r="288" spans="12:19" x14ac:dyDescent="0.25">
      <c r="L288" s="11">
        <v>274</v>
      </c>
      <c r="M288" s="4">
        <v>2.7042979379271914</v>
      </c>
      <c r="N288" s="4">
        <v>1.4611178400309817</v>
      </c>
      <c r="O288" s="4">
        <v>1.714785633600268</v>
      </c>
      <c r="P288" s="4">
        <v>2.0035007702501182</v>
      </c>
      <c r="Q288" s="4">
        <v>1.4554386726502249</v>
      </c>
      <c r="R288" s="4">
        <f t="shared" si="20"/>
        <v>1.8786023845165019</v>
      </c>
      <c r="S288" s="2">
        <f t="shared" si="21"/>
        <v>0.87860238451650186</v>
      </c>
    </row>
    <row r="289" spans="12:19" x14ac:dyDescent="0.25">
      <c r="L289" s="11">
        <v>275</v>
      </c>
      <c r="M289" s="4">
        <v>0.87762410351569842</v>
      </c>
      <c r="N289" s="4">
        <v>0.89829132100008979</v>
      </c>
      <c r="O289" s="4">
        <v>1.0739967454759556</v>
      </c>
      <c r="P289" s="4">
        <v>0.92209400815538811</v>
      </c>
      <c r="Q289" s="4">
        <v>1.0070456341005245</v>
      </c>
      <c r="R289" s="4">
        <f t="shared" si="20"/>
        <v>0.96249361704039604</v>
      </c>
      <c r="S289" s="2">
        <f t="shared" si="21"/>
        <v>-3.7506382959603957E-2</v>
      </c>
    </row>
    <row r="290" spans="12:19" x14ac:dyDescent="0.25">
      <c r="L290" s="11">
        <v>276</v>
      </c>
      <c r="M290" s="4">
        <v>1.90297774124168</v>
      </c>
      <c r="N290" s="4">
        <v>1.4975525310350806</v>
      </c>
      <c r="O290" s="4">
        <v>1.3389984584884174</v>
      </c>
      <c r="P290" s="4">
        <v>1.6297988235836285</v>
      </c>
      <c r="Q290" s="4">
        <v>1.3138161477539256</v>
      </c>
      <c r="R290" s="4">
        <f t="shared" si="20"/>
        <v>1.5311093963767455</v>
      </c>
      <c r="S290" s="2">
        <f t="shared" si="21"/>
        <v>0.53110939637674548</v>
      </c>
    </row>
    <row r="291" spans="12:19" x14ac:dyDescent="0.25">
      <c r="L291" s="11">
        <v>277</v>
      </c>
      <c r="M291" s="4">
        <v>2.4611557186556006</v>
      </c>
      <c r="N291" s="4">
        <v>1.5188521620537319</v>
      </c>
      <c r="O291" s="4">
        <v>1.3315485906898923</v>
      </c>
      <c r="P291" s="4">
        <v>1.7493290497087595</v>
      </c>
      <c r="Q291" s="4">
        <v>1.382093770902616</v>
      </c>
      <c r="R291" s="4">
        <f t="shared" si="20"/>
        <v>1.6810683413265075</v>
      </c>
      <c r="S291" s="2">
        <f t="shared" si="21"/>
        <v>0.68106834132650751</v>
      </c>
    </row>
    <row r="292" spans="12:19" x14ac:dyDescent="0.25">
      <c r="L292" s="11">
        <v>278</v>
      </c>
      <c r="M292" s="4">
        <v>0.85480371022306534</v>
      </c>
      <c r="N292" s="4">
        <v>1.2250577732922439</v>
      </c>
      <c r="O292" s="4">
        <v>1.0581195177669025</v>
      </c>
      <c r="P292" s="4">
        <v>1.0054562590268752</v>
      </c>
      <c r="Q292" s="4">
        <v>1.0508849860517149</v>
      </c>
      <c r="R292" s="4">
        <f t="shared" si="20"/>
        <v>1.0324703758657467</v>
      </c>
      <c r="S292" s="2">
        <f t="shared" si="21"/>
        <v>3.2470375865746748E-2</v>
      </c>
    </row>
    <row r="293" spans="12:19" x14ac:dyDescent="0.25">
      <c r="L293" s="11">
        <v>279</v>
      </c>
      <c r="M293" s="4">
        <v>0.97497814249863057</v>
      </c>
      <c r="N293" s="4">
        <v>1.0378901019187734</v>
      </c>
      <c r="O293" s="4">
        <v>1.0152751591334535</v>
      </c>
      <c r="P293" s="4">
        <v>1.0569326059015369</v>
      </c>
      <c r="Q293" s="4">
        <v>1.0712006971081145</v>
      </c>
      <c r="R293" s="4">
        <f t="shared" si="20"/>
        <v>1.0304759059031903</v>
      </c>
      <c r="S293" s="2">
        <f t="shared" si="21"/>
        <v>3.047590590319027E-2</v>
      </c>
    </row>
    <row r="294" spans="12:19" x14ac:dyDescent="0.25">
      <c r="L294" s="11">
        <v>280</v>
      </c>
      <c r="M294" s="4">
        <v>3.1370756347031707</v>
      </c>
      <c r="N294" s="4">
        <v>1.8025955720800086</v>
      </c>
      <c r="O294" s="4">
        <v>1.4000020284616126</v>
      </c>
      <c r="P294" s="4">
        <v>2.1307859024141487</v>
      </c>
      <c r="Q294" s="4">
        <v>1.5303777973765338</v>
      </c>
      <c r="R294" s="4">
        <f t="shared" si="20"/>
        <v>1.9844289091433056</v>
      </c>
      <c r="S294" s="2">
        <f t="shared" si="21"/>
        <v>0.98442890914330561</v>
      </c>
    </row>
    <row r="295" spans="12:19" x14ac:dyDescent="0.25">
      <c r="L295" s="11">
        <v>281</v>
      </c>
      <c r="M295" s="4">
        <v>2.0722976097778738</v>
      </c>
      <c r="N295" s="4">
        <v>1.2689592561931933</v>
      </c>
      <c r="O295" s="4">
        <v>1.4624413416172639</v>
      </c>
      <c r="P295" s="4">
        <v>1.6612181395644121</v>
      </c>
      <c r="Q295" s="4">
        <v>1.3323752037950354</v>
      </c>
      <c r="R295" s="4">
        <f t="shared" si="20"/>
        <v>1.5675570901166651</v>
      </c>
      <c r="S295" s="2">
        <f t="shared" si="21"/>
        <v>0.56755709011666511</v>
      </c>
    </row>
    <row r="296" spans="12:19" x14ac:dyDescent="0.25">
      <c r="L296" s="11">
        <v>282</v>
      </c>
      <c r="M296" s="4">
        <v>0.8034727409514858</v>
      </c>
      <c r="N296" s="4">
        <v>0.95941032544409366</v>
      </c>
      <c r="O296" s="4">
        <v>1.0189868882458477</v>
      </c>
      <c r="P296" s="4">
        <v>0.86823992412964346</v>
      </c>
      <c r="Q296" s="4">
        <v>0.97706888653566626</v>
      </c>
      <c r="R296" s="4">
        <f t="shared" si="20"/>
        <v>0.92748530451352873</v>
      </c>
      <c r="S296" s="2">
        <f t="shared" si="21"/>
        <v>-7.251469548647127E-2</v>
      </c>
    </row>
    <row r="297" spans="12:19" x14ac:dyDescent="0.25">
      <c r="L297" s="11">
        <v>283</v>
      </c>
      <c r="M297" s="4">
        <v>0.58350665286210179</v>
      </c>
      <c r="N297" s="4">
        <v>0.78234134950446965</v>
      </c>
      <c r="O297" s="4">
        <v>0.8891417676309018</v>
      </c>
      <c r="P297" s="4">
        <v>0.65864531298169504</v>
      </c>
      <c r="Q297" s="4">
        <v>0.85521338458727425</v>
      </c>
      <c r="R297" s="4">
        <f t="shared" si="20"/>
        <v>0.75731845563590405</v>
      </c>
      <c r="S297" s="2">
        <f t="shared" si="21"/>
        <v>-0.24268154436409595</v>
      </c>
    </row>
    <row r="298" spans="12:19" x14ac:dyDescent="0.25">
      <c r="L298" s="11">
        <v>284</v>
      </c>
      <c r="M298" s="4">
        <v>0.65670856504838337</v>
      </c>
      <c r="N298" s="4">
        <v>0.91069178616635271</v>
      </c>
      <c r="O298" s="4">
        <v>0.90995440667602423</v>
      </c>
      <c r="P298" s="4">
        <v>0.78373414781650785</v>
      </c>
      <c r="Q298" s="4">
        <v>0.91311958652853875</v>
      </c>
      <c r="R298" s="4">
        <f t="shared" si="20"/>
        <v>0.8345593002362881</v>
      </c>
      <c r="S298" s="2">
        <f t="shared" si="21"/>
        <v>-0.1654406997637119</v>
      </c>
    </row>
    <row r="299" spans="12:19" x14ac:dyDescent="0.25">
      <c r="L299" s="11">
        <v>285</v>
      </c>
      <c r="M299" s="4">
        <v>2.5650566741606284</v>
      </c>
      <c r="N299" s="4">
        <v>1.3897590522107988</v>
      </c>
      <c r="O299" s="4">
        <v>1.5700598683575684</v>
      </c>
      <c r="P299" s="4">
        <v>1.9572883172920863</v>
      </c>
      <c r="Q299" s="4">
        <v>1.4274869712771685</v>
      </c>
      <c r="R299" s="4">
        <f t="shared" si="20"/>
        <v>1.7899091757893548</v>
      </c>
      <c r="S299" s="2">
        <f t="shared" si="21"/>
        <v>0.78990917578935482</v>
      </c>
    </row>
    <row r="300" spans="12:19" x14ac:dyDescent="0.25">
      <c r="L300" s="11">
        <v>286</v>
      </c>
      <c r="M300" s="4">
        <v>2.065219552378907</v>
      </c>
      <c r="N300" s="4">
        <v>1.3748950763568071</v>
      </c>
      <c r="O300" s="4">
        <v>1.4105305691079226</v>
      </c>
      <c r="P300" s="4">
        <v>1.7346570696977965</v>
      </c>
      <c r="Q300" s="4">
        <v>1.3213949777931697</v>
      </c>
      <c r="R300" s="4">
        <f t="shared" si="20"/>
        <v>1.5837703964015162</v>
      </c>
      <c r="S300" s="2">
        <f t="shared" si="21"/>
        <v>0.58377039640151618</v>
      </c>
    </row>
    <row r="301" spans="12:19" x14ac:dyDescent="0.25">
      <c r="L301" s="11">
        <v>287</v>
      </c>
      <c r="M301" s="4">
        <v>1.6737511784304193</v>
      </c>
      <c r="N301" s="4">
        <v>1.1788453870865958</v>
      </c>
      <c r="O301" s="4">
        <v>1.2430208156338718</v>
      </c>
      <c r="P301" s="4">
        <v>1.4443828681759723</v>
      </c>
      <c r="Q301" s="4">
        <v>1.2210713648352483</v>
      </c>
      <c r="R301" s="4">
        <f t="shared" si="20"/>
        <v>1.3551591863401267</v>
      </c>
      <c r="S301" s="2">
        <f t="shared" si="21"/>
        <v>0.35515918634012666</v>
      </c>
    </row>
    <row r="302" spans="12:19" x14ac:dyDescent="0.25">
      <c r="L302" s="11">
        <v>288</v>
      </c>
      <c r="M302" s="4">
        <v>1.2165745255237366</v>
      </c>
      <c r="N302" s="4">
        <v>1.1157801596671262</v>
      </c>
      <c r="O302" s="4">
        <v>1.1954913743904645</v>
      </c>
      <c r="P302" s="4">
        <v>1.1759853794970092</v>
      </c>
      <c r="Q302" s="4">
        <v>1.1016231255677169</v>
      </c>
      <c r="R302" s="4">
        <f t="shared" si="20"/>
        <v>1.1644944085013689</v>
      </c>
      <c r="S302" s="2">
        <f t="shared" si="21"/>
        <v>0.16449440850136887</v>
      </c>
    </row>
    <row r="303" spans="12:19" x14ac:dyDescent="0.25">
      <c r="L303" s="11">
        <v>289</v>
      </c>
      <c r="M303" s="4">
        <v>1.0143671527108875</v>
      </c>
      <c r="N303" s="4">
        <v>1.0879717133460187</v>
      </c>
      <c r="O303" s="4">
        <v>1.1190424441074704</v>
      </c>
      <c r="P303" s="4">
        <v>1.0930186314440324</v>
      </c>
      <c r="Q303" s="4">
        <v>1.0925782087494202</v>
      </c>
      <c r="R303" s="4">
        <f t="shared" si="20"/>
        <v>1.0828228599603549</v>
      </c>
      <c r="S303" s="2">
        <f t="shared" si="21"/>
        <v>8.2822859960354878E-2</v>
      </c>
    </row>
    <row r="304" spans="12:19" x14ac:dyDescent="0.25">
      <c r="L304" s="11">
        <v>290</v>
      </c>
      <c r="M304" s="4">
        <v>1.347865021883718</v>
      </c>
      <c r="N304" s="4">
        <v>1.2297731733996478</v>
      </c>
      <c r="O304" s="4">
        <v>1.0437733813740604</v>
      </c>
      <c r="P304" s="4">
        <v>1.1631982667110152</v>
      </c>
      <c r="Q304" s="4">
        <v>1.1312333688363274</v>
      </c>
      <c r="R304" s="4">
        <f t="shared" si="20"/>
        <v>1.1755017864586466</v>
      </c>
      <c r="S304" s="2">
        <f t="shared" si="21"/>
        <v>0.17550178645864656</v>
      </c>
    </row>
    <row r="305" spans="12:19" x14ac:dyDescent="0.25">
      <c r="L305" s="11">
        <v>291</v>
      </c>
      <c r="M305" s="4">
        <v>1.5804803847404048</v>
      </c>
      <c r="N305" s="4">
        <v>1.3770596441550329</v>
      </c>
      <c r="O305" s="4">
        <v>1.3863761012742726</v>
      </c>
      <c r="P305" s="4">
        <v>1.4312235822716826</v>
      </c>
      <c r="Q305" s="4">
        <v>1.2533314796656283</v>
      </c>
      <c r="R305" s="4">
        <f t="shared" si="20"/>
        <v>1.4065322390183077</v>
      </c>
      <c r="S305" s="2">
        <f t="shared" si="21"/>
        <v>0.40653223901830771</v>
      </c>
    </row>
    <row r="306" spans="12:19" x14ac:dyDescent="0.25">
      <c r="L306" s="11">
        <v>292</v>
      </c>
      <c r="M306" s="4">
        <v>1.4238550381104969</v>
      </c>
      <c r="N306" s="4">
        <v>1.0679433848113538</v>
      </c>
      <c r="O306" s="4">
        <v>1.3187879046639397</v>
      </c>
      <c r="P306" s="4">
        <v>1.3267206829113771</v>
      </c>
      <c r="Q306" s="4">
        <v>1.1751548978209543</v>
      </c>
      <c r="R306" s="4">
        <f t="shared" si="20"/>
        <v>1.2728477110014316</v>
      </c>
      <c r="S306" s="2">
        <f t="shared" si="21"/>
        <v>0.27284771100143157</v>
      </c>
    </row>
    <row r="307" spans="12:19" x14ac:dyDescent="0.25">
      <c r="L307" s="11">
        <v>293</v>
      </c>
      <c r="M307" s="4">
        <v>1.6020890262564329</v>
      </c>
      <c r="N307" s="4">
        <v>1.2025696497249412</v>
      </c>
      <c r="O307" s="4">
        <v>1.3882225961810062</v>
      </c>
      <c r="P307" s="4">
        <v>1.5029580458699565</v>
      </c>
      <c r="Q307" s="4">
        <v>1.1968036522673962</v>
      </c>
      <c r="R307" s="4">
        <f t="shared" si="20"/>
        <v>1.3870065123697275</v>
      </c>
      <c r="S307" s="2">
        <f t="shared" si="21"/>
        <v>0.3870065123697275</v>
      </c>
    </row>
    <row r="308" spans="12:19" x14ac:dyDescent="0.25">
      <c r="L308" s="11">
        <v>294</v>
      </c>
      <c r="M308" s="4">
        <v>1.2070970315592238</v>
      </c>
      <c r="N308" s="4">
        <v>1.053661743374162</v>
      </c>
      <c r="O308" s="4">
        <v>1.2283030208213508</v>
      </c>
      <c r="P308" s="4">
        <v>1.1926090681376946</v>
      </c>
      <c r="Q308" s="4">
        <v>1.1106458552772216</v>
      </c>
      <c r="R308" s="4">
        <f t="shared" si="20"/>
        <v>1.1657081666804641</v>
      </c>
      <c r="S308" s="2">
        <f t="shared" si="21"/>
        <v>0.16570816668046406</v>
      </c>
    </row>
    <row r="309" spans="12:19" x14ac:dyDescent="0.25">
      <c r="L309" s="11">
        <v>295</v>
      </c>
      <c r="M309" s="4">
        <v>1.787560832349038</v>
      </c>
      <c r="N309" s="4">
        <v>1.113046906485615</v>
      </c>
      <c r="O309" s="4">
        <v>1.188960340851525</v>
      </c>
      <c r="P309" s="4">
        <v>1.4514588077595945</v>
      </c>
      <c r="Q309" s="4">
        <v>1.2285472978032987</v>
      </c>
      <c r="R309" s="4">
        <f t="shared" si="20"/>
        <v>1.3570315672839413</v>
      </c>
      <c r="S309" s="2">
        <f t="shared" si="21"/>
        <v>0.35703156728394125</v>
      </c>
    </row>
    <row r="310" spans="12:19" x14ac:dyDescent="0.25">
      <c r="L310" s="11">
        <v>296</v>
      </c>
      <c r="M310" s="4">
        <v>1.6432217322558671</v>
      </c>
      <c r="N310" s="4">
        <v>1.0860752468492787</v>
      </c>
      <c r="O310" s="4">
        <v>1.143003604490326</v>
      </c>
      <c r="P310" s="4">
        <v>1.4017141161667177</v>
      </c>
      <c r="Q310" s="4">
        <v>1.2726854922046287</v>
      </c>
      <c r="R310" s="4">
        <f t="shared" si="20"/>
        <v>1.3114899904833126</v>
      </c>
      <c r="S310" s="2">
        <f t="shared" si="21"/>
        <v>0.31148999048331261</v>
      </c>
    </row>
    <row r="311" spans="12:19" x14ac:dyDescent="0.25">
      <c r="L311" s="11">
        <v>297</v>
      </c>
      <c r="M311" s="4">
        <v>0.9273925729415321</v>
      </c>
      <c r="N311" s="4">
        <v>1.0594655612134214</v>
      </c>
      <c r="O311" s="4">
        <v>1.0104334740000138</v>
      </c>
      <c r="P311" s="4">
        <v>1.0083490786045937</v>
      </c>
      <c r="Q311" s="4">
        <v>1.0020516938931325</v>
      </c>
      <c r="R311" s="4">
        <f t="shared" si="20"/>
        <v>0.99983733859653323</v>
      </c>
      <c r="S311" s="2">
        <f t="shared" si="21"/>
        <v>-1.6266140346676838E-4</v>
      </c>
    </row>
    <row r="312" spans="12:19" x14ac:dyDescent="0.25">
      <c r="L312" s="11">
        <v>298</v>
      </c>
      <c r="M312" s="4">
        <v>2.2164590972158242</v>
      </c>
      <c r="N312" s="4">
        <v>1.3234519700626997</v>
      </c>
      <c r="O312" s="4">
        <v>1.319704954044892</v>
      </c>
      <c r="P312" s="4">
        <v>1.6881757722008957</v>
      </c>
      <c r="Q312" s="4">
        <v>1.3867398854737814</v>
      </c>
      <c r="R312" s="4">
        <f t="shared" si="20"/>
        <v>1.5867507080115957</v>
      </c>
      <c r="S312" s="2">
        <f t="shared" si="21"/>
        <v>0.58675070801159568</v>
      </c>
    </row>
    <row r="313" spans="12:19" x14ac:dyDescent="0.25">
      <c r="L313" s="11">
        <v>299</v>
      </c>
      <c r="M313" s="4">
        <v>1.1232992050526964</v>
      </c>
      <c r="N313" s="4">
        <v>1.2513326551435933</v>
      </c>
      <c r="O313" s="4">
        <v>1.1752561536365955</v>
      </c>
      <c r="P313" s="4">
        <v>1.111697535046104</v>
      </c>
      <c r="Q313" s="4">
        <v>1.0840674596259559</v>
      </c>
      <c r="R313" s="4">
        <f t="shared" si="20"/>
        <v>1.1462734287478695</v>
      </c>
      <c r="S313" s="2">
        <f t="shared" si="21"/>
        <v>0.14627342874786953</v>
      </c>
    </row>
    <row r="314" spans="12:19" x14ac:dyDescent="0.25">
      <c r="L314" s="11">
        <v>300</v>
      </c>
      <c r="M314" s="4">
        <v>3.4385169438101784</v>
      </c>
      <c r="N314" s="4">
        <v>1.7283759011737692</v>
      </c>
      <c r="O314" s="4">
        <v>1.4942460266475097</v>
      </c>
      <c r="P314" s="4">
        <v>2.5064236210789428</v>
      </c>
      <c r="Q314" s="4">
        <v>1.5882844545150216</v>
      </c>
      <c r="R314" s="4">
        <f t="shared" si="20"/>
        <v>2.1436284759411248</v>
      </c>
      <c r="S314" s="2">
        <f t="shared" si="21"/>
        <v>1.1436284759411248</v>
      </c>
    </row>
    <row r="315" spans="12:19" x14ac:dyDescent="0.25">
      <c r="L315" s="11">
        <v>301</v>
      </c>
      <c r="M315" s="4">
        <v>1.5347947976074787</v>
      </c>
      <c r="N315" s="4">
        <v>1.1978012457313119</v>
      </c>
      <c r="O315" s="4">
        <v>1.1737932032553142</v>
      </c>
      <c r="P315" s="4">
        <v>1.4040720671341513</v>
      </c>
      <c r="Q315" s="4">
        <v>1.2945040869704112</v>
      </c>
      <c r="R315" s="4">
        <f t="shared" si="20"/>
        <v>1.3201481649491063</v>
      </c>
      <c r="S315" s="2">
        <f t="shared" si="21"/>
        <v>0.32014816494910625</v>
      </c>
    </row>
    <row r="316" spans="12:19" x14ac:dyDescent="0.25">
      <c r="L316" s="11">
        <v>302</v>
      </c>
      <c r="M316" s="4">
        <v>0.92755659542384117</v>
      </c>
      <c r="N316" s="4">
        <v>0.81426480325252182</v>
      </c>
      <c r="O316" s="4">
        <v>1.1468445161416396</v>
      </c>
      <c r="P316" s="4">
        <v>0.9359194431995963</v>
      </c>
      <c r="Q316" s="4">
        <v>0.9814346540179496</v>
      </c>
      <c r="R316" s="4">
        <f t="shared" si="20"/>
        <v>0.97418773840414852</v>
      </c>
      <c r="S316" s="2">
        <f t="shared" si="21"/>
        <v>-2.5812261595851482E-2</v>
      </c>
    </row>
    <row r="317" spans="12:19" x14ac:dyDescent="0.25">
      <c r="L317" s="11">
        <v>303</v>
      </c>
      <c r="M317" s="4">
        <v>1.341155978428991</v>
      </c>
      <c r="N317" s="4">
        <v>1.2839352422363921</v>
      </c>
      <c r="O317" s="4">
        <v>1.1666891763136624</v>
      </c>
      <c r="P317" s="4">
        <v>1.2349258830389513</v>
      </c>
      <c r="Q317" s="4">
        <v>1.1365477029081266</v>
      </c>
      <c r="R317" s="4">
        <f t="shared" si="20"/>
        <v>1.2282218288484934</v>
      </c>
      <c r="S317" s="2">
        <f t="shared" si="21"/>
        <v>0.2282218288484934</v>
      </c>
    </row>
    <row r="318" spans="12:19" x14ac:dyDescent="0.25">
      <c r="L318" s="11">
        <v>304</v>
      </c>
      <c r="M318" s="4">
        <v>1.533921790752083</v>
      </c>
      <c r="N318" s="4">
        <v>1.2672777966315592</v>
      </c>
      <c r="O318" s="4">
        <v>1.3570194441665562</v>
      </c>
      <c r="P318" s="4">
        <v>1.4031734336929855</v>
      </c>
      <c r="Q318" s="4">
        <v>1.1958057902466264</v>
      </c>
      <c r="R318" s="4">
        <f t="shared" si="20"/>
        <v>1.3556267890027742</v>
      </c>
      <c r="S318" s="2">
        <f t="shared" si="21"/>
        <v>0.35562678900277422</v>
      </c>
    </row>
    <row r="319" spans="12:19" x14ac:dyDescent="0.25">
      <c r="L319" s="11">
        <v>305</v>
      </c>
      <c r="M319" s="4">
        <v>2.1828637952684029</v>
      </c>
      <c r="N319" s="4">
        <v>1.4654551683233936</v>
      </c>
      <c r="O319" s="4">
        <v>1.2138421668157267</v>
      </c>
      <c r="P319" s="4">
        <v>1.6711798790382533</v>
      </c>
      <c r="Q319" s="4">
        <v>1.3492781782980798</v>
      </c>
      <c r="R319" s="4">
        <f t="shared" si="20"/>
        <v>1.5667150585644314</v>
      </c>
      <c r="S319" s="2">
        <f t="shared" si="21"/>
        <v>0.56671505856443138</v>
      </c>
    </row>
    <row r="320" spans="12:19" x14ac:dyDescent="0.25">
      <c r="L320" s="11">
        <v>306</v>
      </c>
      <c r="M320" s="4">
        <v>1.1287081262479735</v>
      </c>
      <c r="N320" s="4">
        <v>1.1964065841569838</v>
      </c>
      <c r="O320" s="4">
        <v>1.1851110732841879</v>
      </c>
      <c r="P320" s="4">
        <v>1.2122605850136281</v>
      </c>
      <c r="Q320" s="4">
        <v>1.1383782606122252</v>
      </c>
      <c r="R320" s="4">
        <f t="shared" si="20"/>
        <v>1.172273050080864</v>
      </c>
      <c r="S320" s="2">
        <f t="shared" si="21"/>
        <v>0.17227305008086402</v>
      </c>
    </row>
    <row r="321" spans="12:19" x14ac:dyDescent="0.25">
      <c r="L321" s="11">
        <v>307</v>
      </c>
      <c r="M321" s="4">
        <v>2.6357086442566393</v>
      </c>
      <c r="N321" s="4">
        <v>1.3538216474922533</v>
      </c>
      <c r="O321" s="4">
        <v>1.5217267203567431</v>
      </c>
      <c r="P321" s="4">
        <v>2.0598804189143505</v>
      </c>
      <c r="Q321" s="4">
        <v>1.4340594151594956</v>
      </c>
      <c r="R321" s="4">
        <f t="shared" si="20"/>
        <v>1.8089972299468247</v>
      </c>
      <c r="S321" s="2">
        <f t="shared" si="21"/>
        <v>0.80899722994682466</v>
      </c>
    </row>
    <row r="322" spans="12:19" x14ac:dyDescent="0.25">
      <c r="L322" s="11">
        <v>308</v>
      </c>
      <c r="M322" s="4">
        <v>1.2291812281579231</v>
      </c>
      <c r="N322" s="4">
        <v>1.1446088809156327</v>
      </c>
      <c r="O322" s="4">
        <v>1.085820683913332</v>
      </c>
      <c r="P322" s="4">
        <v>1.1775281643574125</v>
      </c>
      <c r="Q322" s="4">
        <v>1.1043530051455011</v>
      </c>
      <c r="R322" s="4">
        <f t="shared" si="20"/>
        <v>1.1461686076500739</v>
      </c>
      <c r="S322" s="2">
        <f t="shared" si="21"/>
        <v>0.14616860765007389</v>
      </c>
    </row>
    <row r="323" spans="12:19" x14ac:dyDescent="0.25">
      <c r="L323" s="11">
        <v>309</v>
      </c>
      <c r="M323" s="4">
        <v>1.0267362684263139</v>
      </c>
      <c r="N323" s="4">
        <v>1.0713154331793553</v>
      </c>
      <c r="O323" s="4">
        <v>1.1279504129107694</v>
      </c>
      <c r="P323" s="4">
        <v>1.0597230349887314</v>
      </c>
      <c r="Q323" s="4">
        <v>1.0326714127443777</v>
      </c>
      <c r="R323" s="4">
        <f t="shared" si="20"/>
        <v>1.0661494715303239</v>
      </c>
      <c r="S323" s="2">
        <f t="shared" si="21"/>
        <v>6.6149471530323911E-2</v>
      </c>
    </row>
    <row r="324" spans="12:19" x14ac:dyDescent="0.25">
      <c r="L324" s="11">
        <v>310</v>
      </c>
      <c r="M324" s="4">
        <v>0.6758280723513076</v>
      </c>
      <c r="N324" s="4">
        <v>0.99746246480409195</v>
      </c>
      <c r="O324" s="4">
        <v>0.99719666126245732</v>
      </c>
      <c r="P324" s="4">
        <v>0.852487580051284</v>
      </c>
      <c r="Q324" s="4">
        <v>0.89682013935401772</v>
      </c>
      <c r="R324" s="4">
        <f t="shared" si="20"/>
        <v>0.88423288607660688</v>
      </c>
      <c r="S324" s="2">
        <f t="shared" si="21"/>
        <v>-0.11576711392339312</v>
      </c>
    </row>
    <row r="325" spans="12:19" x14ac:dyDescent="0.25">
      <c r="L325" s="11">
        <v>311</v>
      </c>
      <c r="M325" s="4">
        <v>1.9540621848701392</v>
      </c>
      <c r="N325" s="4">
        <v>1.4180257256007418</v>
      </c>
      <c r="O325" s="4">
        <v>1.2083218566908853</v>
      </c>
      <c r="P325" s="4">
        <v>1.6440616211762649</v>
      </c>
      <c r="Q325" s="4">
        <v>1.3313861528463602</v>
      </c>
      <c r="R325" s="4">
        <f t="shared" si="20"/>
        <v>1.5034657892986885</v>
      </c>
      <c r="S325" s="2">
        <f t="shared" si="21"/>
        <v>0.50346578929868846</v>
      </c>
    </row>
    <row r="326" spans="12:19" x14ac:dyDescent="0.25">
      <c r="L326" s="11">
        <v>312</v>
      </c>
      <c r="M326" s="4">
        <v>1.3019097598421319</v>
      </c>
      <c r="N326" s="4">
        <v>1.0963742686648865</v>
      </c>
      <c r="O326" s="4">
        <v>1.1109763874576792</v>
      </c>
      <c r="P326" s="4">
        <v>1.2374010955901111</v>
      </c>
      <c r="Q326" s="4">
        <v>1.1267818536194183</v>
      </c>
      <c r="R326" s="4">
        <f t="shared" si="20"/>
        <v>1.1755776152531063</v>
      </c>
      <c r="S326" s="2">
        <f t="shared" si="21"/>
        <v>0.17557761525310633</v>
      </c>
    </row>
    <row r="327" spans="12:19" x14ac:dyDescent="0.25">
      <c r="L327" s="11">
        <v>313</v>
      </c>
      <c r="M327" s="4">
        <v>1.1533227397342078</v>
      </c>
      <c r="N327" s="4">
        <v>1.0331678359713621</v>
      </c>
      <c r="O327" s="4">
        <v>1.0882072743907543</v>
      </c>
      <c r="P327" s="4">
        <v>1.0761837498456595</v>
      </c>
      <c r="Q327" s="4">
        <v>1.089795407696343</v>
      </c>
      <c r="R327" s="4">
        <f t="shared" si="20"/>
        <v>1.0900536881424658</v>
      </c>
      <c r="S327" s="2">
        <f t="shared" si="21"/>
        <v>9.0053688142465838E-2</v>
      </c>
    </row>
    <row r="328" spans="12:19" x14ac:dyDescent="0.25">
      <c r="L328" s="11">
        <v>314</v>
      </c>
      <c r="M328" s="4">
        <v>2.0496738335413163</v>
      </c>
      <c r="N328" s="4">
        <v>1.3169736708073909</v>
      </c>
      <c r="O328" s="4">
        <v>1.6532308875259369</v>
      </c>
      <c r="P328" s="4">
        <v>1.6750477706742364</v>
      </c>
      <c r="Q328" s="4">
        <v>1.3251836346741428</v>
      </c>
      <c r="R328" s="4">
        <f t="shared" si="20"/>
        <v>1.6180104988670536</v>
      </c>
      <c r="S328" s="2">
        <f t="shared" si="21"/>
        <v>0.61801049886705361</v>
      </c>
    </row>
    <row r="329" spans="12:19" x14ac:dyDescent="0.25">
      <c r="L329" s="11">
        <v>315</v>
      </c>
      <c r="M329" s="4">
        <v>0.89459892605755065</v>
      </c>
      <c r="N329" s="4">
        <v>1.1598485503575968</v>
      </c>
      <c r="O329" s="4">
        <v>1.1648657006197805</v>
      </c>
      <c r="P329" s="4">
        <v>0.97418371900291489</v>
      </c>
      <c r="Q329" s="4">
        <v>1.0225018163455728</v>
      </c>
      <c r="R329" s="4">
        <f t="shared" si="20"/>
        <v>1.0434491069801126</v>
      </c>
      <c r="S329" s="2">
        <f t="shared" si="21"/>
        <v>4.3449106980112617E-2</v>
      </c>
    </row>
    <row r="330" spans="12:19" x14ac:dyDescent="0.25">
      <c r="L330" s="11">
        <v>316</v>
      </c>
      <c r="M330" s="4">
        <v>1.0840909987825851</v>
      </c>
      <c r="N330" s="4">
        <v>1.2558783367314152</v>
      </c>
      <c r="O330" s="4">
        <v>1.3586346763112138</v>
      </c>
      <c r="P330" s="4">
        <v>1.1705408529145818</v>
      </c>
      <c r="Q330" s="4">
        <v>1.128693134760957</v>
      </c>
      <c r="R330" s="4">
        <f t="shared" si="20"/>
        <v>1.2041098620667492</v>
      </c>
      <c r="S330" s="2">
        <f t="shared" si="21"/>
        <v>0.20410986206674919</v>
      </c>
    </row>
    <row r="331" spans="12:19" x14ac:dyDescent="0.25">
      <c r="L331" s="11">
        <v>317</v>
      </c>
      <c r="M331" s="4">
        <v>3.6276053374972874</v>
      </c>
      <c r="N331" s="4">
        <v>1.5928229528279223</v>
      </c>
      <c r="O331" s="4">
        <v>1.8091003035614019</v>
      </c>
      <c r="P331" s="4">
        <v>2.48126938910716</v>
      </c>
      <c r="Q331" s="4">
        <v>1.6703680114746891</v>
      </c>
      <c r="R331" s="4">
        <f t="shared" si="20"/>
        <v>2.2455363804473949</v>
      </c>
      <c r="S331" s="2">
        <f t="shared" si="21"/>
        <v>1.2455363804473949</v>
      </c>
    </row>
    <row r="332" spans="12:19" x14ac:dyDescent="0.25">
      <c r="L332" s="11">
        <v>318</v>
      </c>
      <c r="M332" s="4">
        <v>1.6854209426074218</v>
      </c>
      <c r="N332" s="4">
        <v>1.3356200061964607</v>
      </c>
      <c r="O332" s="4">
        <v>1.2825109142592643</v>
      </c>
      <c r="P332" s="4">
        <v>1.4135216556780701</v>
      </c>
      <c r="Q332" s="4">
        <v>1.211303139379087</v>
      </c>
      <c r="R332" s="4">
        <f t="shared" si="20"/>
        <v>1.383836443104576</v>
      </c>
      <c r="S332" s="2">
        <f t="shared" si="21"/>
        <v>0.38383644310457599</v>
      </c>
    </row>
    <row r="333" spans="12:19" x14ac:dyDescent="0.25">
      <c r="L333" s="11">
        <v>319</v>
      </c>
      <c r="M333" s="4">
        <v>0.945132748796917</v>
      </c>
      <c r="N333" s="4">
        <v>1.2124918965044218</v>
      </c>
      <c r="O333" s="4">
        <v>1.0230395852789165</v>
      </c>
      <c r="P333" s="4">
        <v>0.94372434906092828</v>
      </c>
      <c r="Q333" s="4">
        <v>1.0258437313208133</v>
      </c>
      <c r="R333" s="4">
        <f t="shared" si="20"/>
        <v>1.0222349176155325</v>
      </c>
      <c r="S333" s="2">
        <f t="shared" si="21"/>
        <v>2.2234917615532535E-2</v>
      </c>
    </row>
    <row r="334" spans="12:19" x14ac:dyDescent="0.25">
      <c r="L334" s="11">
        <v>320</v>
      </c>
      <c r="M334" s="4">
        <v>1.6294160104284174</v>
      </c>
      <c r="N334" s="4">
        <v>1.3065089886006021</v>
      </c>
      <c r="O334" s="4">
        <v>1.1738879689277892</v>
      </c>
      <c r="P334" s="4">
        <v>1.3737617836397726</v>
      </c>
      <c r="Q334" s="4">
        <v>1.2103122511835132</v>
      </c>
      <c r="R334" s="4">
        <f t="shared" si="20"/>
        <v>1.3336312348029498</v>
      </c>
      <c r="S334" s="2">
        <f t="shared" si="21"/>
        <v>0.33363123480294976</v>
      </c>
    </row>
    <row r="335" spans="12:19" x14ac:dyDescent="0.25">
      <c r="L335" s="11">
        <v>321</v>
      </c>
      <c r="M335" s="4">
        <v>1.1597254964456569</v>
      </c>
      <c r="N335" s="4">
        <v>0.99680380061915053</v>
      </c>
      <c r="O335" s="4">
        <v>1.238034019044179</v>
      </c>
      <c r="P335" s="4">
        <v>1.1219243504757759</v>
      </c>
      <c r="Q335" s="4">
        <v>1.1245987878964103</v>
      </c>
      <c r="R335" s="4">
        <f t="shared" ref="R335:R398" si="22">SUMPRODUCT(M335:Q335,$M$8:$Q$8)</f>
        <v>1.137656601993589</v>
      </c>
      <c r="S335" s="2">
        <f t="shared" si="21"/>
        <v>0.13765660199358898</v>
      </c>
    </row>
    <row r="336" spans="12:19" x14ac:dyDescent="0.25">
      <c r="L336" s="11">
        <v>322</v>
      </c>
      <c r="M336" s="4">
        <v>1.4539728169252186</v>
      </c>
      <c r="N336" s="4">
        <v>1.0919391380023216</v>
      </c>
      <c r="O336" s="4">
        <v>1.458242088535618</v>
      </c>
      <c r="P336" s="4">
        <v>1.327102766469336</v>
      </c>
      <c r="Q336" s="4">
        <v>1.1834268816267712</v>
      </c>
      <c r="R336" s="4">
        <f t="shared" si="22"/>
        <v>1.3177899759472056</v>
      </c>
      <c r="S336" s="2">
        <f t="shared" ref="S336:S399" si="23">R336-1</f>
        <v>0.31778997594720559</v>
      </c>
    </row>
    <row r="337" spans="12:19" x14ac:dyDescent="0.25">
      <c r="L337" s="11">
        <v>323</v>
      </c>
      <c r="M337" s="4">
        <v>0.60445945399619749</v>
      </c>
      <c r="N337" s="4">
        <v>0.81330393626890296</v>
      </c>
      <c r="O337" s="4">
        <v>0.85901369422722396</v>
      </c>
      <c r="P337" s="4">
        <v>0.72493539271902907</v>
      </c>
      <c r="Q337" s="4">
        <v>0.85121199338594633</v>
      </c>
      <c r="R337" s="4">
        <f t="shared" si="22"/>
        <v>0.77213219786416609</v>
      </c>
      <c r="S337" s="2">
        <f t="shared" si="23"/>
        <v>-0.22786780213583391</v>
      </c>
    </row>
    <row r="338" spans="12:19" x14ac:dyDescent="0.25">
      <c r="L338" s="11">
        <v>324</v>
      </c>
      <c r="M338" s="4">
        <v>1.8997947305505178</v>
      </c>
      <c r="N338" s="4">
        <v>1.3443885220746099</v>
      </c>
      <c r="O338" s="4">
        <v>1.5286336567055572</v>
      </c>
      <c r="P338" s="4">
        <v>1.7293512824382626</v>
      </c>
      <c r="Q338" s="4">
        <v>1.3669244765588284</v>
      </c>
      <c r="R338" s="4">
        <f t="shared" si="22"/>
        <v>1.5822974670801484</v>
      </c>
      <c r="S338" s="2">
        <f t="shared" si="23"/>
        <v>0.5822974670801484</v>
      </c>
    </row>
    <row r="339" spans="12:19" x14ac:dyDescent="0.25">
      <c r="L339" s="11">
        <v>325</v>
      </c>
      <c r="M339" s="4">
        <v>0.7474311898409155</v>
      </c>
      <c r="N339" s="4">
        <v>0.85059266519729104</v>
      </c>
      <c r="O339" s="4">
        <v>0.94838228297500038</v>
      </c>
      <c r="P339" s="4">
        <v>0.83006363216693946</v>
      </c>
      <c r="Q339" s="4">
        <v>0.93096879043975211</v>
      </c>
      <c r="R339" s="4">
        <f t="shared" si="22"/>
        <v>0.86510608997012606</v>
      </c>
      <c r="S339" s="2">
        <f t="shared" si="23"/>
        <v>-0.13489391002987394</v>
      </c>
    </row>
    <row r="340" spans="12:19" x14ac:dyDescent="0.25">
      <c r="L340" s="11">
        <v>326</v>
      </c>
      <c r="M340" s="4">
        <v>2.0947168607106965</v>
      </c>
      <c r="N340" s="4">
        <v>1.3161146996166622</v>
      </c>
      <c r="O340" s="4">
        <v>1.3147791400248823</v>
      </c>
      <c r="P340" s="4">
        <v>1.6942524693735284</v>
      </c>
      <c r="Q340" s="4">
        <v>1.3018050646860422</v>
      </c>
      <c r="R340" s="4">
        <f t="shared" si="22"/>
        <v>1.5450145553621089</v>
      </c>
      <c r="S340" s="2">
        <f t="shared" si="23"/>
        <v>0.54501455536210885</v>
      </c>
    </row>
    <row r="341" spans="12:19" x14ac:dyDescent="0.25">
      <c r="L341" s="11">
        <v>327</v>
      </c>
      <c r="M341" s="4">
        <v>1.316981660955336</v>
      </c>
      <c r="N341" s="4">
        <v>1.4190333238455111</v>
      </c>
      <c r="O341" s="4">
        <v>1.2778535013921672</v>
      </c>
      <c r="P341" s="4">
        <v>1.3131199013301702</v>
      </c>
      <c r="Q341" s="4">
        <v>1.1304311501836379</v>
      </c>
      <c r="R341" s="4">
        <f t="shared" si="22"/>
        <v>1.28678246562137</v>
      </c>
      <c r="S341" s="2">
        <f t="shared" si="23"/>
        <v>0.28678246562137</v>
      </c>
    </row>
    <row r="342" spans="12:19" x14ac:dyDescent="0.25">
      <c r="L342" s="11">
        <v>328</v>
      </c>
      <c r="M342" s="4">
        <v>0.99191664716685013</v>
      </c>
      <c r="N342" s="4">
        <v>0.78231537001716589</v>
      </c>
      <c r="O342" s="4">
        <v>1.3249846962043323</v>
      </c>
      <c r="P342" s="4">
        <v>1.0424013055474337</v>
      </c>
      <c r="Q342" s="4">
        <v>1.0165497064081568</v>
      </c>
      <c r="R342" s="4">
        <f t="shared" si="22"/>
        <v>1.0533598453370028</v>
      </c>
      <c r="S342" s="2">
        <f t="shared" si="23"/>
        <v>5.3359845337002776E-2</v>
      </c>
    </row>
    <row r="343" spans="12:19" x14ac:dyDescent="0.25">
      <c r="L343" s="11">
        <v>329</v>
      </c>
      <c r="M343" s="4">
        <v>1.2325994206226771</v>
      </c>
      <c r="N343" s="4">
        <v>1.2852960710851953</v>
      </c>
      <c r="O343" s="4">
        <v>1.2536618092661953</v>
      </c>
      <c r="P343" s="4">
        <v>1.1580682803914235</v>
      </c>
      <c r="Q343" s="4">
        <v>1.1041017350745352</v>
      </c>
      <c r="R343" s="4">
        <f t="shared" si="22"/>
        <v>1.2056257111347779</v>
      </c>
      <c r="S343" s="2">
        <f t="shared" si="23"/>
        <v>0.2056257111347779</v>
      </c>
    </row>
    <row r="344" spans="12:19" x14ac:dyDescent="0.25">
      <c r="L344" s="11">
        <v>330</v>
      </c>
      <c r="M344" s="4">
        <v>1.067418275624384</v>
      </c>
      <c r="N344" s="4">
        <v>1.0836165042821759</v>
      </c>
      <c r="O344" s="4">
        <v>1.1049432448839425</v>
      </c>
      <c r="P344" s="4">
        <v>1.0447191435548482</v>
      </c>
      <c r="Q344" s="4">
        <v>1.0588058282797033</v>
      </c>
      <c r="R344" s="4">
        <f t="shared" si="22"/>
        <v>1.0726456009063412</v>
      </c>
      <c r="S344" s="2">
        <f t="shared" si="23"/>
        <v>7.2645600906341201E-2</v>
      </c>
    </row>
    <row r="345" spans="12:19" x14ac:dyDescent="0.25">
      <c r="L345" s="11">
        <v>331</v>
      </c>
      <c r="M345" s="4">
        <v>0.77246373519946798</v>
      </c>
      <c r="N345" s="4">
        <v>0.92729275201274863</v>
      </c>
      <c r="O345" s="4">
        <v>1.1982405084503978</v>
      </c>
      <c r="P345" s="4">
        <v>0.96398754643363627</v>
      </c>
      <c r="Q345" s="4">
        <v>1.0227256935384474</v>
      </c>
      <c r="R345" s="4">
        <f t="shared" si="22"/>
        <v>0.98789308786068664</v>
      </c>
      <c r="S345" s="2">
        <f t="shared" si="23"/>
        <v>-1.2106912139313364E-2</v>
      </c>
    </row>
    <row r="346" spans="12:19" x14ac:dyDescent="0.25">
      <c r="L346" s="11">
        <v>332</v>
      </c>
      <c r="M346" s="4">
        <v>2.6281921903821908</v>
      </c>
      <c r="N346" s="4">
        <v>1.4503887053190068</v>
      </c>
      <c r="O346" s="4">
        <v>1.5422761270745839</v>
      </c>
      <c r="P346" s="4">
        <v>1.9273114394965709</v>
      </c>
      <c r="Q346" s="4">
        <v>1.4194428999892654</v>
      </c>
      <c r="R346" s="4">
        <f t="shared" si="22"/>
        <v>1.7976938454459077</v>
      </c>
      <c r="S346" s="2">
        <f t="shared" si="23"/>
        <v>0.79769384544590771</v>
      </c>
    </row>
    <row r="347" spans="12:19" x14ac:dyDescent="0.25">
      <c r="L347" s="11">
        <v>333</v>
      </c>
      <c r="M347" s="4">
        <v>1.2479432040722536</v>
      </c>
      <c r="N347" s="4">
        <v>0.98934706494810853</v>
      </c>
      <c r="O347" s="4">
        <v>1.175284721696251</v>
      </c>
      <c r="P347" s="4">
        <v>1.2377349174952028</v>
      </c>
      <c r="Q347" s="4">
        <v>1.1017900665281868</v>
      </c>
      <c r="R347" s="4">
        <f t="shared" si="22"/>
        <v>1.1583318380121443</v>
      </c>
      <c r="S347" s="2">
        <f t="shared" si="23"/>
        <v>0.15833183801214434</v>
      </c>
    </row>
    <row r="348" spans="12:19" x14ac:dyDescent="0.25">
      <c r="L348" s="11">
        <v>334</v>
      </c>
      <c r="M348" s="4">
        <v>2.7757053528915736</v>
      </c>
      <c r="N348" s="4">
        <v>1.5316764320659959</v>
      </c>
      <c r="O348" s="4">
        <v>1.4793971723757224</v>
      </c>
      <c r="P348" s="4">
        <v>1.9266791410428783</v>
      </c>
      <c r="Q348" s="4">
        <v>1.5057534909710397</v>
      </c>
      <c r="R348" s="4">
        <f t="shared" si="22"/>
        <v>1.8415370112463119</v>
      </c>
      <c r="S348" s="2">
        <f t="shared" si="23"/>
        <v>0.84153701124631186</v>
      </c>
    </row>
    <row r="349" spans="12:19" x14ac:dyDescent="0.25">
      <c r="L349" s="11">
        <v>335</v>
      </c>
      <c r="M349" s="4">
        <v>0.72796613069295413</v>
      </c>
      <c r="N349" s="4">
        <v>0.95661970298437171</v>
      </c>
      <c r="O349" s="4">
        <v>0.99009360985056971</v>
      </c>
      <c r="P349" s="4">
        <v>0.79509468011575235</v>
      </c>
      <c r="Q349" s="4">
        <v>0.92809907449606632</v>
      </c>
      <c r="R349" s="4">
        <f t="shared" si="22"/>
        <v>0.8805082843090033</v>
      </c>
      <c r="S349" s="2">
        <f t="shared" si="23"/>
        <v>-0.1194917156909967</v>
      </c>
    </row>
    <row r="350" spans="12:19" x14ac:dyDescent="0.25">
      <c r="L350" s="11">
        <v>336</v>
      </c>
      <c r="M350" s="4">
        <v>1.6339680948205377</v>
      </c>
      <c r="N350" s="4">
        <v>1.2043159727516128</v>
      </c>
      <c r="O350" s="4">
        <v>1.3699199332006913</v>
      </c>
      <c r="P350" s="4">
        <v>1.3918732628660049</v>
      </c>
      <c r="Q350" s="4">
        <v>1.2790235154445904</v>
      </c>
      <c r="R350" s="4">
        <f t="shared" si="22"/>
        <v>1.382278828213453</v>
      </c>
      <c r="S350" s="2">
        <f t="shared" si="23"/>
        <v>0.38227882821345305</v>
      </c>
    </row>
    <row r="351" spans="12:19" x14ac:dyDescent="0.25">
      <c r="L351" s="11">
        <v>337</v>
      </c>
      <c r="M351" s="4">
        <v>2.2080231683472564</v>
      </c>
      <c r="N351" s="4">
        <v>1.139905274069775</v>
      </c>
      <c r="O351" s="4">
        <v>1.3487736646234696</v>
      </c>
      <c r="P351" s="4">
        <v>1.7061974425828264</v>
      </c>
      <c r="Q351" s="4">
        <v>1.3030008915025804</v>
      </c>
      <c r="R351" s="4">
        <f t="shared" si="22"/>
        <v>1.5499454083684776</v>
      </c>
      <c r="S351" s="2">
        <f t="shared" si="23"/>
        <v>0.54994540836847761</v>
      </c>
    </row>
    <row r="352" spans="12:19" x14ac:dyDescent="0.25">
      <c r="L352" s="11">
        <v>338</v>
      </c>
      <c r="M352" s="4">
        <v>1.2302940267575513</v>
      </c>
      <c r="N352" s="4">
        <v>0.97048073944461233</v>
      </c>
      <c r="O352" s="4">
        <v>1.1421722265275975</v>
      </c>
      <c r="P352" s="4">
        <v>1.1976878077348172</v>
      </c>
      <c r="Q352" s="4">
        <v>1.1012499962002356</v>
      </c>
      <c r="R352" s="4">
        <f t="shared" si="22"/>
        <v>1.1354877106277106</v>
      </c>
      <c r="S352" s="2">
        <f t="shared" si="23"/>
        <v>0.13548771062771059</v>
      </c>
    </row>
    <row r="353" spans="12:19" x14ac:dyDescent="0.25">
      <c r="L353" s="11">
        <v>339</v>
      </c>
      <c r="M353" s="4">
        <v>1.110140885880641</v>
      </c>
      <c r="N353" s="4">
        <v>1.1155664828567236</v>
      </c>
      <c r="O353" s="4">
        <v>1.2201661294397563</v>
      </c>
      <c r="P353" s="4">
        <v>1.120666949972182</v>
      </c>
      <c r="Q353" s="4">
        <v>1.140974636791205</v>
      </c>
      <c r="R353" s="4">
        <f t="shared" si="22"/>
        <v>1.1455927567468385</v>
      </c>
      <c r="S353" s="2">
        <f t="shared" si="23"/>
        <v>0.14559275674683847</v>
      </c>
    </row>
    <row r="354" spans="12:19" x14ac:dyDescent="0.25">
      <c r="L354" s="11">
        <v>340</v>
      </c>
      <c r="M354" s="4">
        <v>1.6970032939623545</v>
      </c>
      <c r="N354" s="4">
        <v>1.1531745814300052</v>
      </c>
      <c r="O354" s="4">
        <v>1.3225997178412163</v>
      </c>
      <c r="P354" s="4">
        <v>1.5036525989979885</v>
      </c>
      <c r="Q354" s="4">
        <v>1.3285138875460833</v>
      </c>
      <c r="R354" s="4">
        <f t="shared" si="22"/>
        <v>1.4079389372286804</v>
      </c>
      <c r="S354" s="2">
        <f t="shared" si="23"/>
        <v>0.40793893722868035</v>
      </c>
    </row>
    <row r="355" spans="12:19" x14ac:dyDescent="0.25">
      <c r="L355" s="11">
        <v>341</v>
      </c>
      <c r="M355" s="4">
        <v>2.0307761028908971</v>
      </c>
      <c r="N355" s="4">
        <v>1.3165481701438826</v>
      </c>
      <c r="O355" s="4">
        <v>1.3026151364815726</v>
      </c>
      <c r="P355" s="4">
        <v>1.652943855323302</v>
      </c>
      <c r="Q355" s="4">
        <v>1.2982311347390225</v>
      </c>
      <c r="R355" s="4">
        <f t="shared" si="22"/>
        <v>1.5202958023667097</v>
      </c>
      <c r="S355" s="2">
        <f t="shared" si="23"/>
        <v>0.52029580236670969</v>
      </c>
    </row>
    <row r="356" spans="12:19" x14ac:dyDescent="0.25">
      <c r="L356" s="11">
        <v>342</v>
      </c>
      <c r="M356" s="4">
        <v>3.1313206285086053</v>
      </c>
      <c r="N356" s="4">
        <v>1.7264201006652817</v>
      </c>
      <c r="O356" s="4">
        <v>1.4336625679920667</v>
      </c>
      <c r="P356" s="4">
        <v>2.25884735357389</v>
      </c>
      <c r="Q356" s="4">
        <v>1.4864238024822829</v>
      </c>
      <c r="R356" s="4">
        <f t="shared" si="22"/>
        <v>1.99702196135332</v>
      </c>
      <c r="S356" s="2">
        <f t="shared" si="23"/>
        <v>0.99702196135332</v>
      </c>
    </row>
    <row r="357" spans="12:19" x14ac:dyDescent="0.25">
      <c r="L357" s="11">
        <v>343</v>
      </c>
      <c r="M357" s="4">
        <v>2.4347754473027639</v>
      </c>
      <c r="N357" s="4">
        <v>1.3244420069502529</v>
      </c>
      <c r="O357" s="4">
        <v>1.5193884076478723</v>
      </c>
      <c r="P357" s="4">
        <v>1.9068794106970346</v>
      </c>
      <c r="Q357" s="4">
        <v>1.3935982534857501</v>
      </c>
      <c r="R357" s="4">
        <f t="shared" si="22"/>
        <v>1.7244857744492674</v>
      </c>
      <c r="S357" s="2">
        <f t="shared" si="23"/>
        <v>0.72448577444926743</v>
      </c>
    </row>
    <row r="358" spans="12:19" x14ac:dyDescent="0.25">
      <c r="L358" s="11">
        <v>344</v>
      </c>
      <c r="M358" s="4">
        <v>1.2607916538666453</v>
      </c>
      <c r="N358" s="4">
        <v>1.2793499742461649</v>
      </c>
      <c r="O358" s="4">
        <v>1.2177055246206914</v>
      </c>
      <c r="P358" s="4">
        <v>1.2644907231060925</v>
      </c>
      <c r="Q358" s="4">
        <v>1.1094741453029731</v>
      </c>
      <c r="R358" s="4">
        <f t="shared" si="22"/>
        <v>1.2246691173320199</v>
      </c>
      <c r="S358" s="2">
        <f t="shared" si="23"/>
        <v>0.22466911733201989</v>
      </c>
    </row>
    <row r="359" spans="12:19" x14ac:dyDescent="0.25">
      <c r="L359" s="11">
        <v>345</v>
      </c>
      <c r="M359" s="4">
        <v>1.5852400059685123</v>
      </c>
      <c r="N359" s="4">
        <v>1.287512954978828</v>
      </c>
      <c r="O359" s="4">
        <v>1.4305924818283029</v>
      </c>
      <c r="P359" s="4">
        <v>1.4747765631707532</v>
      </c>
      <c r="Q359" s="4">
        <v>1.2268056522546709</v>
      </c>
      <c r="R359" s="4">
        <f t="shared" si="22"/>
        <v>1.4075157390293818</v>
      </c>
      <c r="S359" s="2">
        <f t="shared" si="23"/>
        <v>0.40751573902938176</v>
      </c>
    </row>
    <row r="360" spans="12:19" x14ac:dyDescent="0.25">
      <c r="L360" s="11">
        <v>346</v>
      </c>
      <c r="M360" s="4">
        <v>2.3307000024309095</v>
      </c>
      <c r="N360" s="4">
        <v>1.6183143400349653</v>
      </c>
      <c r="O360" s="4">
        <v>1.481464672074845</v>
      </c>
      <c r="P360" s="4">
        <v>2.0752881351185959</v>
      </c>
      <c r="Q360" s="4">
        <v>1.4625968787594128</v>
      </c>
      <c r="R360" s="4">
        <f t="shared" si="22"/>
        <v>1.7903305667894889</v>
      </c>
      <c r="S360" s="2">
        <f t="shared" si="23"/>
        <v>0.79033056678948888</v>
      </c>
    </row>
    <row r="361" spans="12:19" x14ac:dyDescent="0.25">
      <c r="L361" s="11">
        <v>347</v>
      </c>
      <c r="M361" s="4">
        <v>1.2857259469105011</v>
      </c>
      <c r="N361" s="4">
        <v>1.2774968295858296</v>
      </c>
      <c r="O361" s="4">
        <v>1.1532709306804088</v>
      </c>
      <c r="P361" s="4">
        <v>1.1812824695939046</v>
      </c>
      <c r="Q361" s="4">
        <v>1.1178524570966653</v>
      </c>
      <c r="R361" s="4">
        <f t="shared" si="22"/>
        <v>1.1982779166131996</v>
      </c>
      <c r="S361" s="2">
        <f t="shared" si="23"/>
        <v>0.1982779166131996</v>
      </c>
    </row>
    <row r="362" spans="12:19" x14ac:dyDescent="0.25">
      <c r="L362" s="11">
        <v>348</v>
      </c>
      <c r="M362" s="4">
        <v>1.9033365286694717</v>
      </c>
      <c r="N362" s="4">
        <v>1.387893860603592</v>
      </c>
      <c r="O362" s="4">
        <v>1.1811206530255804</v>
      </c>
      <c r="P362" s="4">
        <v>1.5254970862664003</v>
      </c>
      <c r="Q362" s="4">
        <v>1.2740080475187561</v>
      </c>
      <c r="R362" s="4">
        <f t="shared" si="22"/>
        <v>1.4463662155111394</v>
      </c>
      <c r="S362" s="2">
        <f t="shared" si="23"/>
        <v>0.44636621551113942</v>
      </c>
    </row>
    <row r="363" spans="12:19" x14ac:dyDescent="0.25">
      <c r="L363" s="11">
        <v>349</v>
      </c>
      <c r="M363" s="4">
        <v>1.3187248604207062</v>
      </c>
      <c r="N363" s="4">
        <v>1.1038336312254891</v>
      </c>
      <c r="O363" s="4">
        <v>1.2666666403209921</v>
      </c>
      <c r="P363" s="4">
        <v>1.1893996837263567</v>
      </c>
      <c r="Q363" s="4">
        <v>1.1734871749205256</v>
      </c>
      <c r="R363" s="4">
        <f t="shared" si="22"/>
        <v>1.2166271096851058</v>
      </c>
      <c r="S363" s="2">
        <f t="shared" si="23"/>
        <v>0.21662710968510579</v>
      </c>
    </row>
    <row r="364" spans="12:19" x14ac:dyDescent="0.25">
      <c r="L364" s="11">
        <v>350</v>
      </c>
      <c r="M364" s="4">
        <v>1.6684237287313455</v>
      </c>
      <c r="N364" s="4">
        <v>1.1292277091527676</v>
      </c>
      <c r="O364" s="4">
        <v>1.4172174193547151</v>
      </c>
      <c r="P364" s="4">
        <v>1.4626921228242014</v>
      </c>
      <c r="Q364" s="4">
        <v>1.2291563615433374</v>
      </c>
      <c r="R364" s="4">
        <f t="shared" si="22"/>
        <v>1.3932725207551016</v>
      </c>
      <c r="S364" s="2">
        <f t="shared" si="23"/>
        <v>0.39327252075510155</v>
      </c>
    </row>
    <row r="365" spans="12:19" x14ac:dyDescent="0.25">
      <c r="L365" s="11">
        <v>351</v>
      </c>
      <c r="M365" s="4">
        <v>1.1111535251368871</v>
      </c>
      <c r="N365" s="4">
        <v>1.2058241753123558</v>
      </c>
      <c r="O365" s="4">
        <v>1.360208689852032</v>
      </c>
      <c r="P365" s="4">
        <v>1.1398625060693572</v>
      </c>
      <c r="Q365" s="4">
        <v>1.0646341221396276</v>
      </c>
      <c r="R365" s="4">
        <f t="shared" si="22"/>
        <v>1.1829454452008059</v>
      </c>
      <c r="S365" s="2">
        <f t="shared" si="23"/>
        <v>0.18294544520080591</v>
      </c>
    </row>
    <row r="366" spans="12:19" x14ac:dyDescent="0.25">
      <c r="L366" s="11">
        <v>352</v>
      </c>
      <c r="M366" s="4">
        <v>1.7500031291512368</v>
      </c>
      <c r="N366" s="4">
        <v>1.3033228804483294</v>
      </c>
      <c r="O366" s="4">
        <v>1.4640005538462453</v>
      </c>
      <c r="P366" s="4">
        <v>1.5544684383043454</v>
      </c>
      <c r="Q366" s="4">
        <v>1.2376366616935863</v>
      </c>
      <c r="R366" s="4">
        <f t="shared" si="22"/>
        <v>1.4692112647995377</v>
      </c>
      <c r="S366" s="2">
        <f t="shared" si="23"/>
        <v>0.46921126479953768</v>
      </c>
    </row>
    <row r="367" spans="12:19" x14ac:dyDescent="0.25">
      <c r="L367" s="11">
        <v>353</v>
      </c>
      <c r="M367" s="4">
        <v>1.5395335146225506</v>
      </c>
      <c r="N367" s="4">
        <v>1.3385254043868373</v>
      </c>
      <c r="O367" s="4">
        <v>1.0375050763053999</v>
      </c>
      <c r="P367" s="4">
        <v>1.2842991004355415</v>
      </c>
      <c r="Q367" s="4">
        <v>1.1878477078917822</v>
      </c>
      <c r="R367" s="4">
        <f t="shared" si="22"/>
        <v>1.2654291187493747</v>
      </c>
      <c r="S367" s="2">
        <f t="shared" si="23"/>
        <v>0.26542911874937469</v>
      </c>
    </row>
    <row r="368" spans="12:19" x14ac:dyDescent="0.25">
      <c r="L368" s="11">
        <v>354</v>
      </c>
      <c r="M368" s="4">
        <v>0.99404856737036118</v>
      </c>
      <c r="N368" s="4">
        <v>1.0844232055188945</v>
      </c>
      <c r="O368" s="4">
        <v>0.8874934232731484</v>
      </c>
      <c r="P368" s="4">
        <v>1.004534956713629</v>
      </c>
      <c r="Q368" s="4">
        <v>1.0092569781377907</v>
      </c>
      <c r="R368" s="4">
        <f t="shared" si="22"/>
        <v>0.98815238691206242</v>
      </c>
      <c r="S368" s="2">
        <f t="shared" si="23"/>
        <v>-1.1847613087937581E-2</v>
      </c>
    </row>
    <row r="369" spans="12:19" x14ac:dyDescent="0.25">
      <c r="L369" s="11">
        <v>355</v>
      </c>
      <c r="M369" s="4">
        <v>1.7321672690446612</v>
      </c>
      <c r="N369" s="4">
        <v>1.2642024549334843</v>
      </c>
      <c r="O369" s="4">
        <v>1.242673476342447</v>
      </c>
      <c r="P369" s="4">
        <v>1.5447414285473104</v>
      </c>
      <c r="Q369" s="4">
        <v>1.3290266515296241</v>
      </c>
      <c r="R369" s="4">
        <f t="shared" si="22"/>
        <v>1.4221530536402895</v>
      </c>
      <c r="S369" s="2">
        <f t="shared" si="23"/>
        <v>0.42215305364028954</v>
      </c>
    </row>
    <row r="370" spans="12:19" x14ac:dyDescent="0.25">
      <c r="L370" s="11">
        <v>356</v>
      </c>
      <c r="M370" s="4">
        <v>1.0076517131719538</v>
      </c>
      <c r="N370" s="4">
        <v>1.1402615326736163</v>
      </c>
      <c r="O370" s="4">
        <v>1.1223213816018272</v>
      </c>
      <c r="P370" s="4">
        <v>0.966608509112164</v>
      </c>
      <c r="Q370" s="4">
        <v>1.0460552900734155</v>
      </c>
      <c r="R370" s="4">
        <f t="shared" si="22"/>
        <v>1.0554675068851471</v>
      </c>
      <c r="S370" s="2">
        <f t="shared" si="23"/>
        <v>5.5467506885147122E-2</v>
      </c>
    </row>
    <row r="371" spans="12:19" x14ac:dyDescent="0.25">
      <c r="L371" s="11">
        <v>357</v>
      </c>
      <c r="M371" s="4">
        <v>0.91033818530856891</v>
      </c>
      <c r="N371" s="4">
        <v>0.95475813678601262</v>
      </c>
      <c r="O371" s="4">
        <v>1.1575222286184366</v>
      </c>
      <c r="P371" s="4">
        <v>0.97951348717698328</v>
      </c>
      <c r="Q371" s="4">
        <v>0.98656688321971242</v>
      </c>
      <c r="R371" s="4">
        <f t="shared" si="22"/>
        <v>1.0059339444990583</v>
      </c>
      <c r="S371" s="2">
        <f t="shared" si="23"/>
        <v>5.9339444990582635E-3</v>
      </c>
    </row>
    <row r="372" spans="12:19" x14ac:dyDescent="0.25">
      <c r="L372" s="11">
        <v>358</v>
      </c>
      <c r="M372" s="4">
        <v>2.546488977351733</v>
      </c>
      <c r="N372" s="4">
        <v>1.3616267674918086</v>
      </c>
      <c r="O372" s="4">
        <v>1.4964324208552575</v>
      </c>
      <c r="P372" s="4">
        <v>1.934313784656555</v>
      </c>
      <c r="Q372" s="4">
        <v>1.4648029857542699</v>
      </c>
      <c r="R372" s="4">
        <f t="shared" si="22"/>
        <v>1.7665979504109621</v>
      </c>
      <c r="S372" s="2">
        <f t="shared" si="23"/>
        <v>0.76659795041096213</v>
      </c>
    </row>
    <row r="373" spans="12:19" x14ac:dyDescent="0.25">
      <c r="L373" s="11">
        <v>359</v>
      </c>
      <c r="M373" s="4">
        <v>0.76689675170126925</v>
      </c>
      <c r="N373" s="4">
        <v>0.99889557604610657</v>
      </c>
      <c r="O373" s="4">
        <v>0.89028860284080003</v>
      </c>
      <c r="P373" s="4">
        <v>0.87268052939283058</v>
      </c>
      <c r="Q373" s="4">
        <v>0.94686778113151004</v>
      </c>
      <c r="R373" s="4">
        <f t="shared" si="22"/>
        <v>0.89076239857965089</v>
      </c>
      <c r="S373" s="2">
        <f t="shared" si="23"/>
        <v>-0.10923760142034911</v>
      </c>
    </row>
    <row r="374" spans="12:19" x14ac:dyDescent="0.25">
      <c r="L374" s="11">
        <v>360</v>
      </c>
      <c r="M374" s="4">
        <v>3.8275176274742018</v>
      </c>
      <c r="N374" s="4">
        <v>1.8399474064149648</v>
      </c>
      <c r="O374" s="4">
        <v>1.5596830934387593</v>
      </c>
      <c r="P374" s="4">
        <v>2.4504888507431901</v>
      </c>
      <c r="Q374" s="4">
        <v>1.6144140397340336</v>
      </c>
      <c r="R374" s="4">
        <f t="shared" si="22"/>
        <v>2.2476405450860599</v>
      </c>
      <c r="S374" s="2">
        <f t="shared" si="23"/>
        <v>1.2476405450860599</v>
      </c>
    </row>
    <row r="375" spans="12:19" x14ac:dyDescent="0.25">
      <c r="L375" s="11">
        <v>361</v>
      </c>
      <c r="M375" s="4">
        <v>1.0598187161101176</v>
      </c>
      <c r="N375" s="4">
        <v>1.0050381518655365</v>
      </c>
      <c r="O375" s="4">
        <v>1.0418764801419103</v>
      </c>
      <c r="P375" s="4">
        <v>1.0492606343873705</v>
      </c>
      <c r="Q375" s="4">
        <v>1.0378049283250808</v>
      </c>
      <c r="R375" s="4">
        <f t="shared" si="22"/>
        <v>1.0402346367470023</v>
      </c>
      <c r="S375" s="2">
        <f t="shared" si="23"/>
        <v>4.0234636747002339E-2</v>
      </c>
    </row>
    <row r="376" spans="12:19" x14ac:dyDescent="0.25">
      <c r="L376" s="11">
        <v>362</v>
      </c>
      <c r="M376" s="4">
        <v>2.3918377820839209</v>
      </c>
      <c r="N376" s="4">
        <v>1.2519178143036456</v>
      </c>
      <c r="O376" s="4">
        <v>1.6048395597374607</v>
      </c>
      <c r="P376" s="4">
        <v>1.8669565255698899</v>
      </c>
      <c r="Q376" s="4">
        <v>1.3977287558530078</v>
      </c>
      <c r="R376" s="4">
        <f t="shared" si="22"/>
        <v>1.7173943925775166</v>
      </c>
      <c r="S376" s="2">
        <f t="shared" si="23"/>
        <v>0.71739439257751658</v>
      </c>
    </row>
    <row r="377" spans="12:19" x14ac:dyDescent="0.25">
      <c r="L377" s="11">
        <v>363</v>
      </c>
      <c r="M377" s="4">
        <v>2.2660504166246409</v>
      </c>
      <c r="N377" s="4">
        <v>1.3869115321964729</v>
      </c>
      <c r="O377" s="4">
        <v>1.5807320072589739</v>
      </c>
      <c r="P377" s="4">
        <v>1.8830542196795128</v>
      </c>
      <c r="Q377" s="4">
        <v>1.414845275407058</v>
      </c>
      <c r="R377" s="4">
        <f t="shared" si="22"/>
        <v>1.715118804106206</v>
      </c>
      <c r="S377" s="2">
        <f t="shared" si="23"/>
        <v>0.71511880410620599</v>
      </c>
    </row>
    <row r="378" spans="12:19" x14ac:dyDescent="0.25">
      <c r="L378" s="11">
        <v>364</v>
      </c>
      <c r="M378" s="4">
        <v>1.0927192536603929</v>
      </c>
      <c r="N378" s="4">
        <v>1.2261846102057454</v>
      </c>
      <c r="O378" s="4">
        <v>1.28206760309507</v>
      </c>
      <c r="P378" s="4">
        <v>1.1688586314794593</v>
      </c>
      <c r="Q378" s="4">
        <v>1.091240418902707</v>
      </c>
      <c r="R378" s="4">
        <f t="shared" si="22"/>
        <v>1.1750237360159372</v>
      </c>
      <c r="S378" s="2">
        <f t="shared" si="23"/>
        <v>0.17502373601593724</v>
      </c>
    </row>
    <row r="379" spans="12:19" x14ac:dyDescent="0.25">
      <c r="L379" s="11">
        <v>365</v>
      </c>
      <c r="M379" s="4">
        <v>0.65848301994220104</v>
      </c>
      <c r="N379" s="4">
        <v>0.88682777137499302</v>
      </c>
      <c r="O379" s="4">
        <v>0.97623691256483192</v>
      </c>
      <c r="P379" s="4">
        <v>0.8356448880675319</v>
      </c>
      <c r="Q379" s="4">
        <v>0.94368398338314752</v>
      </c>
      <c r="R379" s="4">
        <f t="shared" si="22"/>
        <v>0.86366950127385911</v>
      </c>
      <c r="S379" s="2">
        <f t="shared" si="23"/>
        <v>-0.13633049872614089</v>
      </c>
    </row>
    <row r="380" spans="12:19" x14ac:dyDescent="0.25">
      <c r="L380" s="11">
        <v>366</v>
      </c>
      <c r="M380" s="4">
        <v>1.1960287322635375</v>
      </c>
      <c r="N380" s="4">
        <v>1.0524691883752053</v>
      </c>
      <c r="O380" s="4">
        <v>1.1300732765737862</v>
      </c>
      <c r="P380" s="4">
        <v>1.2365790291533882</v>
      </c>
      <c r="Q380" s="4">
        <v>1.1168196060983582</v>
      </c>
      <c r="R380" s="4">
        <f t="shared" si="22"/>
        <v>1.1500689224352652</v>
      </c>
      <c r="S380" s="2">
        <f t="shared" si="23"/>
        <v>0.15006892243526515</v>
      </c>
    </row>
    <row r="381" spans="12:19" x14ac:dyDescent="0.25">
      <c r="L381" s="11">
        <v>367</v>
      </c>
      <c r="M381" s="4">
        <v>1.2499921368781015</v>
      </c>
      <c r="N381" s="4">
        <v>1.1029782630070744</v>
      </c>
      <c r="O381" s="4">
        <v>1.1921897978817049</v>
      </c>
      <c r="P381" s="4">
        <v>1.1761849078795772</v>
      </c>
      <c r="Q381" s="4">
        <v>1.1197746341615775</v>
      </c>
      <c r="R381" s="4">
        <f t="shared" si="22"/>
        <v>1.1718327004744131</v>
      </c>
      <c r="S381" s="2">
        <f t="shared" si="23"/>
        <v>0.17183270047441312</v>
      </c>
    </row>
    <row r="382" spans="12:19" x14ac:dyDescent="0.25">
      <c r="L382" s="11">
        <v>368</v>
      </c>
      <c r="M382" s="4">
        <v>0.4322050645681777</v>
      </c>
      <c r="N382" s="4">
        <v>0.75233860970672839</v>
      </c>
      <c r="O382" s="4">
        <v>0.88482984648542251</v>
      </c>
      <c r="P382" s="4">
        <v>0.6599037432294026</v>
      </c>
      <c r="Q382" s="4">
        <v>0.87699758131666128</v>
      </c>
      <c r="R382" s="4">
        <f t="shared" si="22"/>
        <v>0.72608256339842447</v>
      </c>
      <c r="S382" s="2">
        <f t="shared" si="23"/>
        <v>-0.27391743660157553</v>
      </c>
    </row>
    <row r="383" spans="12:19" x14ac:dyDescent="0.25">
      <c r="L383" s="11">
        <v>369</v>
      </c>
      <c r="M383" s="4">
        <v>2.2255471219248939</v>
      </c>
      <c r="N383" s="4">
        <v>1.3868359049203687</v>
      </c>
      <c r="O383" s="4">
        <v>1.4924669946964104</v>
      </c>
      <c r="P383" s="4">
        <v>1.7027068638072913</v>
      </c>
      <c r="Q383" s="4">
        <v>1.3640505651216936</v>
      </c>
      <c r="R383" s="4">
        <f t="shared" si="22"/>
        <v>1.638735763507652</v>
      </c>
      <c r="S383" s="2">
        <f t="shared" si="23"/>
        <v>0.63873576350765204</v>
      </c>
    </row>
    <row r="384" spans="12:19" x14ac:dyDescent="0.25">
      <c r="L384" s="11">
        <v>370</v>
      </c>
      <c r="M384" s="4">
        <v>1.3758067163942811</v>
      </c>
      <c r="N384" s="4">
        <v>1.1711784946831296</v>
      </c>
      <c r="O384" s="4">
        <v>1.2272322995260361</v>
      </c>
      <c r="P384" s="4">
        <v>1.2843573249194791</v>
      </c>
      <c r="Q384" s="4">
        <v>1.1268396209995291</v>
      </c>
      <c r="R384" s="4">
        <f t="shared" si="22"/>
        <v>1.2397954685326236</v>
      </c>
      <c r="S384" s="2">
        <f t="shared" si="23"/>
        <v>0.23979546853262357</v>
      </c>
    </row>
    <row r="385" spans="12:19" x14ac:dyDescent="0.25">
      <c r="L385" s="11">
        <v>371</v>
      </c>
      <c r="M385" s="4">
        <v>1.1597621037250088</v>
      </c>
      <c r="N385" s="4">
        <v>1.2022415798975108</v>
      </c>
      <c r="O385" s="4">
        <v>1.2549259553990637</v>
      </c>
      <c r="P385" s="4">
        <v>1.1391392082814225</v>
      </c>
      <c r="Q385" s="4">
        <v>1.1063797823415029</v>
      </c>
      <c r="R385" s="4">
        <f t="shared" si="22"/>
        <v>1.1747248140234436</v>
      </c>
      <c r="S385" s="2">
        <f t="shared" si="23"/>
        <v>0.17472481402344364</v>
      </c>
    </row>
    <row r="386" spans="12:19" x14ac:dyDescent="0.25">
      <c r="L386" s="11">
        <v>372</v>
      </c>
      <c r="M386" s="4">
        <v>0.77285059949326051</v>
      </c>
      <c r="N386" s="4">
        <v>0.82613816794313011</v>
      </c>
      <c r="O386" s="4">
        <v>1.028303127242435</v>
      </c>
      <c r="P386" s="4">
        <v>0.88247697132904834</v>
      </c>
      <c r="Q386" s="4">
        <v>0.97537962865067018</v>
      </c>
      <c r="R386" s="4">
        <f t="shared" si="22"/>
        <v>0.90487042299790599</v>
      </c>
      <c r="S386" s="2">
        <f t="shared" si="23"/>
        <v>-9.5129577002094012E-2</v>
      </c>
    </row>
    <row r="387" spans="12:19" x14ac:dyDescent="0.25">
      <c r="L387" s="11">
        <v>373</v>
      </c>
      <c r="M387" s="4">
        <v>1.0830501840648408</v>
      </c>
      <c r="N387" s="4">
        <v>1.094485793872007</v>
      </c>
      <c r="O387" s="4">
        <v>1.2287935713459168</v>
      </c>
      <c r="P387" s="4">
        <v>1.1711532528342994</v>
      </c>
      <c r="Q387" s="4">
        <v>1.1166607031797839</v>
      </c>
      <c r="R387" s="4">
        <f t="shared" si="22"/>
        <v>1.1446142160296155</v>
      </c>
      <c r="S387" s="2">
        <f t="shared" si="23"/>
        <v>0.14461421602961555</v>
      </c>
    </row>
    <row r="388" spans="12:19" x14ac:dyDescent="0.25">
      <c r="L388" s="11">
        <v>374</v>
      </c>
      <c r="M388" s="4">
        <v>1.8956619399830086</v>
      </c>
      <c r="N388" s="4">
        <v>1.4073105474393062</v>
      </c>
      <c r="O388" s="4">
        <v>1.4328128977157151</v>
      </c>
      <c r="P388" s="4">
        <v>1.5681595186673472</v>
      </c>
      <c r="Q388" s="4">
        <v>1.2991499116810985</v>
      </c>
      <c r="R388" s="4">
        <f t="shared" si="22"/>
        <v>1.5220561389141432</v>
      </c>
      <c r="S388" s="2">
        <f t="shared" si="23"/>
        <v>0.52205613891414315</v>
      </c>
    </row>
    <row r="389" spans="12:19" x14ac:dyDescent="0.25">
      <c r="L389" s="11">
        <v>375</v>
      </c>
      <c r="M389" s="4">
        <v>2.6337606836625218</v>
      </c>
      <c r="N389" s="4">
        <v>1.2501630868086306</v>
      </c>
      <c r="O389" s="4">
        <v>1.4978308897645964</v>
      </c>
      <c r="P389" s="4">
        <v>1.9857498101358324</v>
      </c>
      <c r="Q389" s="4">
        <v>1.4848576987950208</v>
      </c>
      <c r="R389" s="4">
        <f t="shared" si="22"/>
        <v>1.7808164935411044</v>
      </c>
      <c r="S389" s="2">
        <f t="shared" si="23"/>
        <v>0.78081649354110438</v>
      </c>
    </row>
    <row r="390" spans="12:19" x14ac:dyDescent="0.25">
      <c r="L390" s="11">
        <v>376</v>
      </c>
      <c r="M390" s="4">
        <v>0.39350740137626522</v>
      </c>
      <c r="N390" s="4">
        <v>0.69790351028339515</v>
      </c>
      <c r="O390" s="4">
        <v>0.79737613726629275</v>
      </c>
      <c r="P390" s="4">
        <v>0.53782097437150578</v>
      </c>
      <c r="Q390" s="4">
        <v>0.78329462677998862</v>
      </c>
      <c r="R390" s="4">
        <f t="shared" si="22"/>
        <v>0.64518763174753291</v>
      </c>
      <c r="S390" s="2">
        <f t="shared" si="23"/>
        <v>-0.35481236825246709</v>
      </c>
    </row>
    <row r="391" spans="12:19" x14ac:dyDescent="0.25">
      <c r="L391" s="11">
        <v>377</v>
      </c>
      <c r="M391" s="4">
        <v>1.8001786629694903</v>
      </c>
      <c r="N391" s="4">
        <v>1.203145631060472</v>
      </c>
      <c r="O391" s="4">
        <v>1.3867556062180009</v>
      </c>
      <c r="P391" s="4">
        <v>1.6259593701218535</v>
      </c>
      <c r="Q391" s="4">
        <v>1.2685116777702934</v>
      </c>
      <c r="R391" s="4">
        <f t="shared" si="22"/>
        <v>1.4653126332545003</v>
      </c>
      <c r="S391" s="2">
        <f t="shared" si="23"/>
        <v>0.46531263325450034</v>
      </c>
    </row>
    <row r="392" spans="12:19" x14ac:dyDescent="0.25">
      <c r="L392" s="11">
        <v>378</v>
      </c>
      <c r="M392" s="4">
        <v>2.0977114705092799</v>
      </c>
      <c r="N392" s="4">
        <v>1.1958556758112273</v>
      </c>
      <c r="O392" s="4">
        <v>1.4276065014001729</v>
      </c>
      <c r="P392" s="4">
        <v>1.5354845937098753</v>
      </c>
      <c r="Q392" s="4">
        <v>1.3231119776213329</v>
      </c>
      <c r="R392" s="4">
        <f t="shared" si="22"/>
        <v>1.5246757656939447</v>
      </c>
      <c r="S392" s="2">
        <f t="shared" si="23"/>
        <v>0.5246757656939447</v>
      </c>
    </row>
    <row r="393" spans="12:19" x14ac:dyDescent="0.25">
      <c r="L393" s="11">
        <v>379</v>
      </c>
      <c r="M393" s="4">
        <v>1.692286831981751</v>
      </c>
      <c r="N393" s="4">
        <v>1.368741647995326</v>
      </c>
      <c r="O393" s="4">
        <v>1.0008253840979455</v>
      </c>
      <c r="P393" s="4">
        <v>1.4039347311707913</v>
      </c>
      <c r="Q393" s="4">
        <v>1.2215968252242184</v>
      </c>
      <c r="R393" s="4">
        <f t="shared" si="22"/>
        <v>1.3229903925183624</v>
      </c>
      <c r="S393" s="2">
        <f t="shared" si="23"/>
        <v>0.32299039251836237</v>
      </c>
    </row>
    <row r="394" spans="12:19" x14ac:dyDescent="0.25">
      <c r="L394" s="11">
        <v>380</v>
      </c>
      <c r="M394" s="4">
        <v>1.441182130171571</v>
      </c>
      <c r="N394" s="4">
        <v>1.3304143372953909</v>
      </c>
      <c r="O394" s="4">
        <v>1.3170538916885635</v>
      </c>
      <c r="P394" s="4">
        <v>1.2561223964548272</v>
      </c>
      <c r="Q394" s="4">
        <v>1.197424374654442</v>
      </c>
      <c r="R394" s="4">
        <f t="shared" si="22"/>
        <v>1.3077767508456057</v>
      </c>
      <c r="S394" s="2">
        <f t="shared" si="23"/>
        <v>0.30777675084560574</v>
      </c>
    </row>
    <row r="395" spans="12:19" x14ac:dyDescent="0.25">
      <c r="L395" s="11">
        <v>381</v>
      </c>
      <c r="M395" s="4">
        <v>0.63283413488487983</v>
      </c>
      <c r="N395" s="4">
        <v>0.98382475001879499</v>
      </c>
      <c r="O395" s="4">
        <v>0.94470517338866111</v>
      </c>
      <c r="P395" s="4">
        <v>0.7964527091870427</v>
      </c>
      <c r="Q395" s="4">
        <v>0.9181944908141042</v>
      </c>
      <c r="R395" s="4">
        <f t="shared" si="22"/>
        <v>0.85354613542324365</v>
      </c>
      <c r="S395" s="2">
        <f t="shared" si="23"/>
        <v>-0.14645386457675635</v>
      </c>
    </row>
    <row r="396" spans="12:19" x14ac:dyDescent="0.25">
      <c r="L396" s="11">
        <v>382</v>
      </c>
      <c r="M396" s="4">
        <v>1.1500299717961224</v>
      </c>
      <c r="N396" s="4">
        <v>1.0955854083255943</v>
      </c>
      <c r="O396" s="4">
        <v>1.1552602232834912</v>
      </c>
      <c r="P396" s="4">
        <v>1.0812539012859363</v>
      </c>
      <c r="Q396" s="4">
        <v>1.064775753491932</v>
      </c>
      <c r="R396" s="4">
        <f t="shared" si="22"/>
        <v>1.111676180178474</v>
      </c>
      <c r="S396" s="2">
        <f t="shared" si="23"/>
        <v>0.11167618017847403</v>
      </c>
    </row>
    <row r="397" spans="12:19" x14ac:dyDescent="0.25">
      <c r="L397" s="11">
        <v>383</v>
      </c>
      <c r="M397" s="4">
        <v>2.7850963302375531</v>
      </c>
      <c r="N397" s="4">
        <v>1.340436815207527</v>
      </c>
      <c r="O397" s="4">
        <v>1.7740376995955167</v>
      </c>
      <c r="P397" s="4">
        <v>2.049596133521141</v>
      </c>
      <c r="Q397" s="4">
        <v>1.4414382782272763</v>
      </c>
      <c r="R397" s="4">
        <f t="shared" si="22"/>
        <v>1.8961833886720627</v>
      </c>
      <c r="S397" s="2">
        <f t="shared" si="23"/>
        <v>0.89618338867206271</v>
      </c>
    </row>
    <row r="398" spans="12:19" x14ac:dyDescent="0.25">
      <c r="L398" s="11">
        <v>384</v>
      </c>
      <c r="M398" s="4">
        <v>2.2263262806685842</v>
      </c>
      <c r="N398" s="4">
        <v>1.5350390520591513</v>
      </c>
      <c r="O398" s="4">
        <v>1.3953722740412995</v>
      </c>
      <c r="P398" s="4">
        <v>1.6975334902318067</v>
      </c>
      <c r="Q398" s="4">
        <v>1.373829810679766</v>
      </c>
      <c r="R398" s="4">
        <f t="shared" si="22"/>
        <v>1.6402560410052622</v>
      </c>
      <c r="S398" s="2">
        <f t="shared" si="23"/>
        <v>0.64025604100526223</v>
      </c>
    </row>
    <row r="399" spans="12:19" x14ac:dyDescent="0.25">
      <c r="L399" s="11">
        <v>385</v>
      </c>
      <c r="M399" s="4">
        <v>2.5762467335670092</v>
      </c>
      <c r="N399" s="4">
        <v>1.509855494471801</v>
      </c>
      <c r="O399" s="4">
        <v>1.4059169239071259</v>
      </c>
      <c r="P399" s="4">
        <v>1.7707516274702082</v>
      </c>
      <c r="Q399" s="4">
        <v>1.4613636981563192</v>
      </c>
      <c r="R399" s="4">
        <f t="shared" ref="R399:R462" si="24">SUMPRODUCT(M399:Q399,$M$8:$Q$8)</f>
        <v>1.740098796989642</v>
      </c>
      <c r="S399" s="2">
        <f t="shared" si="23"/>
        <v>0.74009879698964198</v>
      </c>
    </row>
    <row r="400" spans="12:19" x14ac:dyDescent="0.25">
      <c r="L400" s="11">
        <v>386</v>
      </c>
      <c r="M400" s="4">
        <v>1.0121143069093592</v>
      </c>
      <c r="N400" s="4">
        <v>1.1899482581386511</v>
      </c>
      <c r="O400" s="4">
        <v>0.96955929681774033</v>
      </c>
      <c r="P400" s="4">
        <v>0.99738937096096913</v>
      </c>
      <c r="Q400" s="4">
        <v>1.0530258088345346</v>
      </c>
      <c r="R400" s="4">
        <f t="shared" si="24"/>
        <v>1.035422700333626</v>
      </c>
      <c r="S400" s="2">
        <f t="shared" ref="S400:S463" si="25">R400-1</f>
        <v>3.5422700333626045E-2</v>
      </c>
    </row>
    <row r="401" spans="12:19" x14ac:dyDescent="0.25">
      <c r="L401" s="11">
        <v>387</v>
      </c>
      <c r="M401" s="4">
        <v>1.6314737386991633</v>
      </c>
      <c r="N401" s="4">
        <v>1.5086180102712419</v>
      </c>
      <c r="O401" s="4">
        <v>1.228462605954584</v>
      </c>
      <c r="P401" s="4">
        <v>1.3505521448164524</v>
      </c>
      <c r="Q401" s="4">
        <v>1.2063413412715991</v>
      </c>
      <c r="R401" s="4">
        <f t="shared" si="24"/>
        <v>1.374024153002948</v>
      </c>
      <c r="S401" s="2">
        <f t="shared" si="25"/>
        <v>0.374024153002948</v>
      </c>
    </row>
    <row r="402" spans="12:19" x14ac:dyDescent="0.25">
      <c r="L402" s="11">
        <v>388</v>
      </c>
      <c r="M402" s="4">
        <v>2.3093231944855739</v>
      </c>
      <c r="N402" s="4">
        <v>1.444998593513549</v>
      </c>
      <c r="O402" s="4">
        <v>1.2232026542518257</v>
      </c>
      <c r="P402" s="4">
        <v>1.6610693345564245</v>
      </c>
      <c r="Q402" s="4">
        <v>1.316071377288063</v>
      </c>
      <c r="R402" s="4">
        <f t="shared" si="24"/>
        <v>1.5820864209304626</v>
      </c>
      <c r="S402" s="2">
        <f t="shared" si="25"/>
        <v>0.58208642093046259</v>
      </c>
    </row>
    <row r="403" spans="12:19" x14ac:dyDescent="0.25">
      <c r="L403" s="11">
        <v>389</v>
      </c>
      <c r="M403" s="4">
        <v>1.3507871831495255</v>
      </c>
      <c r="N403" s="4">
        <v>1.1618107535086559</v>
      </c>
      <c r="O403" s="4">
        <v>1.1675704626710828</v>
      </c>
      <c r="P403" s="4">
        <v>1.2381645550792921</v>
      </c>
      <c r="Q403" s="4">
        <v>1.1589097025117161</v>
      </c>
      <c r="R403" s="4">
        <f t="shared" si="24"/>
        <v>1.2157491613226445</v>
      </c>
      <c r="S403" s="2">
        <f t="shared" si="25"/>
        <v>0.21574916132264454</v>
      </c>
    </row>
    <row r="404" spans="12:19" x14ac:dyDescent="0.25">
      <c r="L404" s="11">
        <v>390</v>
      </c>
      <c r="M404" s="4">
        <v>1.7745322105687946</v>
      </c>
      <c r="N404" s="4">
        <v>1.2428859886885233</v>
      </c>
      <c r="O404" s="4">
        <v>1.0864146794339047</v>
      </c>
      <c r="P404" s="4">
        <v>1.4428880746219395</v>
      </c>
      <c r="Q404" s="4">
        <v>1.2573678010588296</v>
      </c>
      <c r="R404" s="4">
        <f t="shared" si="24"/>
        <v>1.3545804026657255</v>
      </c>
      <c r="S404" s="2">
        <f t="shared" si="25"/>
        <v>0.35458040266572555</v>
      </c>
    </row>
    <row r="405" spans="12:19" x14ac:dyDescent="0.25">
      <c r="L405" s="11">
        <v>391</v>
      </c>
      <c r="M405" s="4">
        <v>2.0844351057416128</v>
      </c>
      <c r="N405" s="4">
        <v>1.5308577594889006</v>
      </c>
      <c r="O405" s="4">
        <v>1.2859781888279105</v>
      </c>
      <c r="P405" s="4">
        <v>1.6496506500565487</v>
      </c>
      <c r="Q405" s="4">
        <v>1.3260892017540948</v>
      </c>
      <c r="R405" s="4">
        <f t="shared" si="24"/>
        <v>1.5660974083508568</v>
      </c>
      <c r="S405" s="2">
        <f t="shared" si="25"/>
        <v>0.56609740835085676</v>
      </c>
    </row>
    <row r="406" spans="12:19" x14ac:dyDescent="0.25">
      <c r="L406" s="11">
        <v>392</v>
      </c>
      <c r="M406" s="4">
        <v>2.3121379886574034</v>
      </c>
      <c r="N406" s="4">
        <v>1.5450555701678859</v>
      </c>
      <c r="O406" s="4">
        <v>1.7197928389464139</v>
      </c>
      <c r="P406" s="4">
        <v>1.8551760471253305</v>
      </c>
      <c r="Q406" s="4">
        <v>1.4143045499508484</v>
      </c>
      <c r="R406" s="4">
        <f t="shared" si="24"/>
        <v>1.7771123445473707</v>
      </c>
      <c r="S406" s="2">
        <f t="shared" si="25"/>
        <v>0.77711234454737066</v>
      </c>
    </row>
    <row r="407" spans="12:19" x14ac:dyDescent="0.25">
      <c r="L407" s="11">
        <v>393</v>
      </c>
      <c r="M407" s="4">
        <v>0.48856884876887841</v>
      </c>
      <c r="N407" s="4">
        <v>0.90947524808774571</v>
      </c>
      <c r="O407" s="4">
        <v>0.92917869948115961</v>
      </c>
      <c r="P407" s="4">
        <v>0.63110288561431116</v>
      </c>
      <c r="Q407" s="4">
        <v>0.84821154603816551</v>
      </c>
      <c r="R407" s="4">
        <f t="shared" si="24"/>
        <v>0.76152746779157854</v>
      </c>
      <c r="S407" s="2">
        <f t="shared" si="25"/>
        <v>-0.23847253220842146</v>
      </c>
    </row>
    <row r="408" spans="12:19" x14ac:dyDescent="0.25">
      <c r="L408" s="11">
        <v>394</v>
      </c>
      <c r="M408" s="4">
        <v>1.7387329216156748</v>
      </c>
      <c r="N408" s="4">
        <v>1.3808175544140007</v>
      </c>
      <c r="O408" s="4">
        <v>1.4759514436784451</v>
      </c>
      <c r="P408" s="4">
        <v>1.5500945615501667</v>
      </c>
      <c r="Q408" s="4">
        <v>1.3577310815126555</v>
      </c>
      <c r="R408" s="4">
        <f t="shared" si="24"/>
        <v>1.5048389813811074</v>
      </c>
      <c r="S408" s="2">
        <f t="shared" si="25"/>
        <v>0.50483898138110739</v>
      </c>
    </row>
    <row r="409" spans="12:19" x14ac:dyDescent="0.25">
      <c r="L409" s="11">
        <v>395</v>
      </c>
      <c r="M409" s="4">
        <v>1.2904083668136441</v>
      </c>
      <c r="N409" s="4">
        <v>1.0770643038494481</v>
      </c>
      <c r="O409" s="4">
        <v>1.2277493977042939</v>
      </c>
      <c r="P409" s="4">
        <v>1.2689722403461048</v>
      </c>
      <c r="Q409" s="4">
        <v>1.099973934705444</v>
      </c>
      <c r="R409" s="4">
        <f t="shared" si="24"/>
        <v>1.1995006996285418</v>
      </c>
      <c r="S409" s="2">
        <f t="shared" si="25"/>
        <v>0.19950069962854178</v>
      </c>
    </row>
    <row r="410" spans="12:19" x14ac:dyDescent="0.25">
      <c r="L410" s="11">
        <v>396</v>
      </c>
      <c r="M410" s="4">
        <v>1.029698098621151</v>
      </c>
      <c r="N410" s="4">
        <v>1.1476374259057756</v>
      </c>
      <c r="O410" s="4">
        <v>1.0267291168985386</v>
      </c>
      <c r="P410" s="4">
        <v>1.1176169607275097</v>
      </c>
      <c r="Q410" s="4">
        <v>1.0949980253788223</v>
      </c>
      <c r="R410" s="4">
        <f t="shared" si="24"/>
        <v>1.0788584822653478</v>
      </c>
      <c r="S410" s="2">
        <f t="shared" si="25"/>
        <v>7.8858482265347751E-2</v>
      </c>
    </row>
    <row r="411" spans="12:19" x14ac:dyDescent="0.25">
      <c r="L411" s="11">
        <v>397</v>
      </c>
      <c r="M411" s="4">
        <v>1.1692526640118241</v>
      </c>
      <c r="N411" s="4">
        <v>0.92794356198806571</v>
      </c>
      <c r="O411" s="4">
        <v>1.2789163370785628</v>
      </c>
      <c r="P411" s="4">
        <v>1.11253511992363</v>
      </c>
      <c r="Q411" s="4">
        <v>1.0663188167071984</v>
      </c>
      <c r="R411" s="4">
        <f t="shared" si="24"/>
        <v>1.1249621781854287</v>
      </c>
      <c r="S411" s="2">
        <f t="shared" si="25"/>
        <v>0.12496217818542865</v>
      </c>
    </row>
    <row r="412" spans="12:19" x14ac:dyDescent="0.25">
      <c r="L412" s="11">
        <v>398</v>
      </c>
      <c r="M412" s="4">
        <v>2.6370172203724942</v>
      </c>
      <c r="N412" s="4">
        <v>1.5274516854227909</v>
      </c>
      <c r="O412" s="4">
        <v>1.318944487156297</v>
      </c>
      <c r="P412" s="4">
        <v>1.8666939967211165</v>
      </c>
      <c r="Q412" s="4">
        <v>1.4331004271899448</v>
      </c>
      <c r="R412" s="4">
        <f t="shared" si="24"/>
        <v>1.7483948849836906</v>
      </c>
      <c r="S412" s="2">
        <f t="shared" si="25"/>
        <v>0.74839488498369056</v>
      </c>
    </row>
    <row r="413" spans="12:19" x14ac:dyDescent="0.25">
      <c r="L413" s="11">
        <v>399</v>
      </c>
      <c r="M413" s="4">
        <v>2.5455802501188183</v>
      </c>
      <c r="N413" s="4">
        <v>1.4553096356079078</v>
      </c>
      <c r="O413" s="4">
        <v>1.5400604173286938</v>
      </c>
      <c r="P413" s="4">
        <v>1.9335653239794774</v>
      </c>
      <c r="Q413" s="4">
        <v>1.4504629548487775</v>
      </c>
      <c r="R413" s="4">
        <f t="shared" si="24"/>
        <v>1.7889788566194502</v>
      </c>
      <c r="S413" s="2">
        <f t="shared" si="25"/>
        <v>0.78897885661945022</v>
      </c>
    </row>
    <row r="414" spans="12:19" x14ac:dyDescent="0.25">
      <c r="L414" s="11">
        <v>400</v>
      </c>
      <c r="M414" s="4">
        <v>2.156034213182779</v>
      </c>
      <c r="N414" s="4">
        <v>1.4096987298745978</v>
      </c>
      <c r="O414" s="4">
        <v>1.4237790448661243</v>
      </c>
      <c r="P414" s="4">
        <v>1.8538169584527902</v>
      </c>
      <c r="Q414" s="4">
        <v>1.3297410026304892</v>
      </c>
      <c r="R414" s="4">
        <f t="shared" si="24"/>
        <v>1.636747470209212</v>
      </c>
      <c r="S414" s="2">
        <f t="shared" si="25"/>
        <v>0.63674747020921196</v>
      </c>
    </row>
    <row r="415" spans="12:19" x14ac:dyDescent="0.25">
      <c r="L415" s="11">
        <v>401</v>
      </c>
      <c r="M415" s="4">
        <v>1.4015816435109827</v>
      </c>
      <c r="N415" s="4">
        <v>1.2705886261198198</v>
      </c>
      <c r="O415" s="4">
        <v>1.2793390419210631</v>
      </c>
      <c r="P415" s="4">
        <v>1.3008497156469665</v>
      </c>
      <c r="Q415" s="4">
        <v>1.1701339153996189</v>
      </c>
      <c r="R415" s="4">
        <f t="shared" si="24"/>
        <v>1.2852164176046217</v>
      </c>
      <c r="S415" s="2">
        <f t="shared" si="25"/>
        <v>0.28521641760462169</v>
      </c>
    </row>
    <row r="416" spans="12:19" x14ac:dyDescent="0.25">
      <c r="L416" s="11">
        <v>402</v>
      </c>
      <c r="M416" s="4">
        <v>0.6302202472822892</v>
      </c>
      <c r="N416" s="4">
        <v>1.0004126110294547</v>
      </c>
      <c r="O416" s="4">
        <v>0.81025151100676662</v>
      </c>
      <c r="P416" s="4">
        <v>0.732888068202034</v>
      </c>
      <c r="Q416" s="4">
        <v>0.89220201049860992</v>
      </c>
      <c r="R416" s="4">
        <f t="shared" si="24"/>
        <v>0.80523581745256334</v>
      </c>
      <c r="S416" s="2">
        <f t="shared" si="25"/>
        <v>-0.19476418254743666</v>
      </c>
    </row>
    <row r="417" spans="12:19" x14ac:dyDescent="0.25">
      <c r="L417" s="11">
        <v>403</v>
      </c>
      <c r="M417" s="4">
        <v>2.8086698883026755</v>
      </c>
      <c r="N417" s="4">
        <v>1.5222746999179579</v>
      </c>
      <c r="O417" s="4">
        <v>1.5418808934923569</v>
      </c>
      <c r="P417" s="4">
        <v>1.9593143517448035</v>
      </c>
      <c r="Q417" s="4">
        <v>1.4647172283047245</v>
      </c>
      <c r="R417" s="4">
        <f t="shared" si="24"/>
        <v>1.8602609781718933</v>
      </c>
      <c r="S417" s="2">
        <f t="shared" si="25"/>
        <v>0.86026097817189329</v>
      </c>
    </row>
    <row r="418" spans="12:19" x14ac:dyDescent="0.25">
      <c r="L418" s="11">
        <v>404</v>
      </c>
      <c r="M418" s="4">
        <v>0.91724679614629379</v>
      </c>
      <c r="N418" s="4">
        <v>0.97407601734264915</v>
      </c>
      <c r="O418" s="4">
        <v>0.96160776480404575</v>
      </c>
      <c r="P418" s="4">
        <v>0.92067288492036603</v>
      </c>
      <c r="Q418" s="4">
        <v>0.99233962304924828</v>
      </c>
      <c r="R418" s="4">
        <f t="shared" si="24"/>
        <v>0.95238180068625766</v>
      </c>
      <c r="S418" s="2">
        <f t="shared" si="25"/>
        <v>-4.7618199313742338E-2</v>
      </c>
    </row>
    <row r="419" spans="12:19" x14ac:dyDescent="0.25">
      <c r="L419" s="11">
        <v>405</v>
      </c>
      <c r="M419" s="4">
        <v>2.6397995131665897</v>
      </c>
      <c r="N419" s="4">
        <v>1.568066924997106</v>
      </c>
      <c r="O419" s="4">
        <v>1.4332878505003666</v>
      </c>
      <c r="P419" s="4">
        <v>1.9045252026566546</v>
      </c>
      <c r="Q419" s="4">
        <v>1.4618728670552112</v>
      </c>
      <c r="R419" s="4">
        <f t="shared" si="24"/>
        <v>1.7963287826126251</v>
      </c>
      <c r="S419" s="2">
        <f t="shared" si="25"/>
        <v>0.79632878261262507</v>
      </c>
    </row>
    <row r="420" spans="12:19" x14ac:dyDescent="0.25">
      <c r="L420" s="11">
        <v>406</v>
      </c>
      <c r="M420" s="4">
        <v>2.1466625623645275</v>
      </c>
      <c r="N420" s="4">
        <v>1.4124750119980678</v>
      </c>
      <c r="O420" s="4">
        <v>1.2834951922030402</v>
      </c>
      <c r="P420" s="4">
        <v>1.6331969850622057</v>
      </c>
      <c r="Q420" s="4">
        <v>1.3269428068151117</v>
      </c>
      <c r="R420" s="4">
        <f t="shared" si="24"/>
        <v>1.5555412391224761</v>
      </c>
      <c r="S420" s="2">
        <f t="shared" si="25"/>
        <v>0.5555412391224761</v>
      </c>
    </row>
    <row r="421" spans="12:19" x14ac:dyDescent="0.25">
      <c r="L421" s="11">
        <v>407</v>
      </c>
      <c r="M421" s="4">
        <v>0.36850147082305007</v>
      </c>
      <c r="N421" s="4">
        <v>0.7771589679866</v>
      </c>
      <c r="O421" s="4">
        <v>0.86060963142978553</v>
      </c>
      <c r="P421" s="4">
        <v>0.54922969816481004</v>
      </c>
      <c r="Q421" s="4">
        <v>0.77144247668099297</v>
      </c>
      <c r="R421" s="4">
        <f t="shared" si="24"/>
        <v>0.66819018403538655</v>
      </c>
      <c r="S421" s="2">
        <f t="shared" si="25"/>
        <v>-0.33180981596461345</v>
      </c>
    </row>
    <row r="422" spans="12:19" x14ac:dyDescent="0.25">
      <c r="L422" s="11">
        <v>408</v>
      </c>
      <c r="M422" s="4">
        <v>2.0802282583078817</v>
      </c>
      <c r="N422" s="4">
        <v>1.5173556306292595</v>
      </c>
      <c r="O422" s="4">
        <v>1.4352305889125838</v>
      </c>
      <c r="P422" s="4">
        <v>1.7729593440165279</v>
      </c>
      <c r="Q422" s="4">
        <v>1.3166219115922129</v>
      </c>
      <c r="R422" s="4">
        <f t="shared" si="24"/>
        <v>1.6225351852154306</v>
      </c>
      <c r="S422" s="2">
        <f t="shared" si="25"/>
        <v>0.62253518521543061</v>
      </c>
    </row>
    <row r="423" spans="12:19" x14ac:dyDescent="0.25">
      <c r="L423" s="11">
        <v>409</v>
      </c>
      <c r="M423" s="4">
        <v>0.74365211449720448</v>
      </c>
      <c r="N423" s="4">
        <v>0.92982595979535021</v>
      </c>
      <c r="O423" s="4">
        <v>1.1132996264789323</v>
      </c>
      <c r="P423" s="4">
        <v>0.91394880518088828</v>
      </c>
      <c r="Q423" s="4">
        <v>0.98769259775740115</v>
      </c>
      <c r="R423" s="4">
        <f t="shared" si="24"/>
        <v>0.94505406288818117</v>
      </c>
      <c r="S423" s="2">
        <f t="shared" si="25"/>
        <v>-5.4945937111818832E-2</v>
      </c>
    </row>
    <row r="424" spans="12:19" x14ac:dyDescent="0.25">
      <c r="L424" s="11">
        <v>410</v>
      </c>
      <c r="M424" s="4">
        <v>0.67690510415446137</v>
      </c>
      <c r="N424" s="4">
        <v>0.99139820268608525</v>
      </c>
      <c r="O424" s="4">
        <v>0.96812212542355747</v>
      </c>
      <c r="P424" s="4">
        <v>0.81431595885367158</v>
      </c>
      <c r="Q424" s="4">
        <v>0.90181931794446757</v>
      </c>
      <c r="R424" s="4">
        <f t="shared" si="24"/>
        <v>0.86958284624371807</v>
      </c>
      <c r="S424" s="2">
        <f t="shared" si="25"/>
        <v>-0.13041715375628193</v>
      </c>
    </row>
    <row r="425" spans="12:19" x14ac:dyDescent="0.25">
      <c r="L425" s="11">
        <v>411</v>
      </c>
      <c r="M425" s="4">
        <v>1.8509138424666913</v>
      </c>
      <c r="N425" s="4">
        <v>1.3792416294708214</v>
      </c>
      <c r="O425" s="4">
        <v>1.0813984188253916</v>
      </c>
      <c r="P425" s="4">
        <v>1.3676536115538942</v>
      </c>
      <c r="Q425" s="4">
        <v>1.2622010616439341</v>
      </c>
      <c r="R425" s="4">
        <f t="shared" si="24"/>
        <v>1.3757654901357008</v>
      </c>
      <c r="S425" s="2">
        <f t="shared" si="25"/>
        <v>0.37576549013570082</v>
      </c>
    </row>
    <row r="426" spans="12:19" x14ac:dyDescent="0.25">
      <c r="L426" s="11">
        <v>412</v>
      </c>
      <c r="M426" s="4">
        <v>2.532632527177213</v>
      </c>
      <c r="N426" s="4">
        <v>1.4599846517587709</v>
      </c>
      <c r="O426" s="4">
        <v>1.3712888821571068</v>
      </c>
      <c r="P426" s="4">
        <v>1.8064379116568008</v>
      </c>
      <c r="Q426" s="4">
        <v>1.4793476277987048</v>
      </c>
      <c r="R426" s="4">
        <f t="shared" si="24"/>
        <v>1.7260532600403993</v>
      </c>
      <c r="S426" s="2">
        <f t="shared" si="25"/>
        <v>0.72605326004039927</v>
      </c>
    </row>
    <row r="427" spans="12:19" x14ac:dyDescent="0.25">
      <c r="L427" s="11">
        <v>413</v>
      </c>
      <c r="M427" s="4">
        <v>1.5095947005367176</v>
      </c>
      <c r="N427" s="4">
        <v>1.2133628256619231</v>
      </c>
      <c r="O427" s="4">
        <v>1.3257835637008173</v>
      </c>
      <c r="P427" s="4">
        <v>1.3415805170195862</v>
      </c>
      <c r="Q427" s="4">
        <v>1.1969505516966759</v>
      </c>
      <c r="R427" s="4">
        <f t="shared" si="24"/>
        <v>1.3221564166026141</v>
      </c>
      <c r="S427" s="2">
        <f t="shared" si="25"/>
        <v>0.32215641660261407</v>
      </c>
    </row>
    <row r="428" spans="12:19" x14ac:dyDescent="0.25">
      <c r="L428" s="11">
        <v>414</v>
      </c>
      <c r="M428" s="4">
        <v>2.6704162504858719</v>
      </c>
      <c r="N428" s="4">
        <v>1.5248513363004674</v>
      </c>
      <c r="O428" s="4">
        <v>1.4104526703830289</v>
      </c>
      <c r="P428" s="4">
        <v>2.131006184786421</v>
      </c>
      <c r="Q428" s="4">
        <v>1.4574275521985667</v>
      </c>
      <c r="R428" s="4">
        <f t="shared" si="24"/>
        <v>1.8359153297364292</v>
      </c>
      <c r="S428" s="2">
        <f t="shared" si="25"/>
        <v>0.83591532973642924</v>
      </c>
    </row>
    <row r="429" spans="12:19" x14ac:dyDescent="0.25">
      <c r="L429" s="11">
        <v>415</v>
      </c>
      <c r="M429" s="4">
        <v>0.93997334198132143</v>
      </c>
      <c r="N429" s="4">
        <v>1.1296774467441586</v>
      </c>
      <c r="O429" s="4">
        <v>1.130761838016517</v>
      </c>
      <c r="P429" s="4">
        <v>1.0673873847882882</v>
      </c>
      <c r="Q429" s="4">
        <v>1.0704255609679647</v>
      </c>
      <c r="R429" s="4">
        <f t="shared" si="24"/>
        <v>1.0680122414815107</v>
      </c>
      <c r="S429" s="2">
        <f t="shared" si="25"/>
        <v>6.8012241481510749E-2</v>
      </c>
    </row>
    <row r="430" spans="12:19" x14ac:dyDescent="0.25">
      <c r="L430" s="11">
        <v>416</v>
      </c>
      <c r="M430" s="4">
        <v>0.40477500124357507</v>
      </c>
      <c r="N430" s="4">
        <v>0.55053187761379396</v>
      </c>
      <c r="O430" s="4">
        <v>0.80592816404517842</v>
      </c>
      <c r="P430" s="4">
        <v>0.5420710831836828</v>
      </c>
      <c r="Q430" s="4">
        <v>0.75832664075400946</v>
      </c>
      <c r="R430" s="4">
        <f t="shared" si="24"/>
        <v>0.62179191968034031</v>
      </c>
      <c r="S430" s="2">
        <f t="shared" si="25"/>
        <v>-0.37820808031965969</v>
      </c>
    </row>
    <row r="431" spans="12:19" x14ac:dyDescent="0.25">
      <c r="L431" s="11">
        <v>417</v>
      </c>
      <c r="M431" s="4">
        <v>1.853447361828962</v>
      </c>
      <c r="N431" s="4">
        <v>1.628067373876819</v>
      </c>
      <c r="O431" s="4">
        <v>1.3226994300586583</v>
      </c>
      <c r="P431" s="4">
        <v>1.5965023377020509</v>
      </c>
      <c r="Q431" s="4">
        <v>1.2919671813208471</v>
      </c>
      <c r="R431" s="4">
        <f t="shared" si="24"/>
        <v>1.5272353495977797</v>
      </c>
      <c r="S431" s="2">
        <f t="shared" si="25"/>
        <v>0.52723534959777973</v>
      </c>
    </row>
    <row r="432" spans="12:19" x14ac:dyDescent="0.25">
      <c r="L432" s="11">
        <v>418</v>
      </c>
      <c r="M432" s="4">
        <v>1.4749671014039434</v>
      </c>
      <c r="N432" s="4">
        <v>1.0675070600434773</v>
      </c>
      <c r="O432" s="4">
        <v>1.2970570570720377</v>
      </c>
      <c r="P432" s="4">
        <v>1.3660871542646618</v>
      </c>
      <c r="Q432" s="4">
        <v>1.1642083963857657</v>
      </c>
      <c r="R432" s="4">
        <f t="shared" si="24"/>
        <v>1.2836671233759642</v>
      </c>
      <c r="S432" s="2">
        <f t="shared" si="25"/>
        <v>0.28366712337596423</v>
      </c>
    </row>
    <row r="433" spans="12:19" x14ac:dyDescent="0.25">
      <c r="L433" s="11">
        <v>419</v>
      </c>
      <c r="M433" s="4">
        <v>2.2383835328801944</v>
      </c>
      <c r="N433" s="4">
        <v>1.1768235867429644</v>
      </c>
      <c r="O433" s="4">
        <v>1.5849037493981712</v>
      </c>
      <c r="P433" s="4">
        <v>1.7619006814071525</v>
      </c>
      <c r="Q433" s="4">
        <v>1.3442773261292955</v>
      </c>
      <c r="R433" s="4">
        <f t="shared" si="24"/>
        <v>1.6380756931034215</v>
      </c>
      <c r="S433" s="2">
        <f t="shared" si="25"/>
        <v>0.63807569310342149</v>
      </c>
    </row>
    <row r="434" spans="12:19" x14ac:dyDescent="0.25">
      <c r="L434" s="11">
        <v>420</v>
      </c>
      <c r="M434" s="4">
        <v>1.5221165153425669</v>
      </c>
      <c r="N434" s="4">
        <v>1.0248369768143806</v>
      </c>
      <c r="O434" s="4">
        <v>1.393266213828144</v>
      </c>
      <c r="P434" s="4">
        <v>1.3793846659951254</v>
      </c>
      <c r="Q434" s="4">
        <v>1.1792393657495592</v>
      </c>
      <c r="R434" s="4">
        <f t="shared" si="24"/>
        <v>1.3148823201841524</v>
      </c>
      <c r="S434" s="2">
        <f t="shared" si="25"/>
        <v>0.31488232018415241</v>
      </c>
    </row>
    <row r="435" spans="12:19" x14ac:dyDescent="0.25">
      <c r="L435" s="11">
        <v>421</v>
      </c>
      <c r="M435" s="4">
        <v>0.50707998488597839</v>
      </c>
      <c r="N435" s="4">
        <v>0.72557693171863746</v>
      </c>
      <c r="O435" s="4">
        <v>0.89286719049747421</v>
      </c>
      <c r="P435" s="4">
        <v>0.66369136999392753</v>
      </c>
      <c r="Q435" s="4">
        <v>0.84312586112384891</v>
      </c>
      <c r="R435" s="4">
        <f t="shared" si="24"/>
        <v>0.73267531796567464</v>
      </c>
      <c r="S435" s="2">
        <f t="shared" si="25"/>
        <v>-0.26732468203432536</v>
      </c>
    </row>
    <row r="436" spans="12:19" x14ac:dyDescent="0.25">
      <c r="L436" s="11">
        <v>422</v>
      </c>
      <c r="M436" s="4">
        <v>0.98298448195359533</v>
      </c>
      <c r="N436" s="4">
        <v>1.0125393757610237</v>
      </c>
      <c r="O436" s="4">
        <v>0.97685814312352048</v>
      </c>
      <c r="P436" s="4">
        <v>1.0440821073893405</v>
      </c>
      <c r="Q436" s="4">
        <v>1.0645922710559961</v>
      </c>
      <c r="R436" s="4">
        <f t="shared" si="24"/>
        <v>1.0148251419178436</v>
      </c>
      <c r="S436" s="2">
        <f t="shared" si="25"/>
        <v>1.4825141917843565E-2</v>
      </c>
    </row>
    <row r="437" spans="12:19" x14ac:dyDescent="0.25">
      <c r="L437" s="11">
        <v>423</v>
      </c>
      <c r="M437" s="4">
        <v>1.0719464609823754</v>
      </c>
      <c r="N437" s="4">
        <v>0.98852425611685923</v>
      </c>
      <c r="O437" s="4">
        <v>1.1743828381166912</v>
      </c>
      <c r="P437" s="4">
        <v>1.1225578136705383</v>
      </c>
      <c r="Q437" s="4">
        <v>1.0376779506907758</v>
      </c>
      <c r="R437" s="4">
        <f t="shared" si="24"/>
        <v>1.0868833590168754</v>
      </c>
      <c r="S437" s="2">
        <f t="shared" si="25"/>
        <v>8.6883359016875383E-2</v>
      </c>
    </row>
    <row r="438" spans="12:19" x14ac:dyDescent="0.25">
      <c r="L438" s="11">
        <v>424</v>
      </c>
      <c r="M438" s="4">
        <v>2.615286359638239</v>
      </c>
      <c r="N438" s="4">
        <v>1.5117444680846721</v>
      </c>
      <c r="O438" s="4">
        <v>1.4721783242354132</v>
      </c>
      <c r="P438" s="4">
        <v>1.9495324681777098</v>
      </c>
      <c r="Q438" s="4">
        <v>1.4059297773892725</v>
      </c>
      <c r="R438" s="4">
        <f t="shared" si="24"/>
        <v>1.7901480569406769</v>
      </c>
      <c r="S438" s="2">
        <f t="shared" si="25"/>
        <v>0.79014805694067691</v>
      </c>
    </row>
    <row r="439" spans="12:19" x14ac:dyDescent="0.25">
      <c r="L439" s="11">
        <v>425</v>
      </c>
      <c r="M439" s="4">
        <v>0.9687751638253731</v>
      </c>
      <c r="N439" s="4">
        <v>0.89822714232529799</v>
      </c>
      <c r="O439" s="4">
        <v>0.90624362132543101</v>
      </c>
      <c r="P439" s="4">
        <v>0.96404773650444509</v>
      </c>
      <c r="Q439" s="4">
        <v>1.0264182332229796</v>
      </c>
      <c r="R439" s="4">
        <f t="shared" si="24"/>
        <v>0.95271888097372348</v>
      </c>
      <c r="S439" s="2">
        <f t="shared" si="25"/>
        <v>-4.7281119026276519E-2</v>
      </c>
    </row>
    <row r="440" spans="12:19" x14ac:dyDescent="0.25">
      <c r="L440" s="11">
        <v>426</v>
      </c>
      <c r="M440" s="4">
        <v>1.0615461724073454</v>
      </c>
      <c r="N440" s="4">
        <v>1.0179162454635269</v>
      </c>
      <c r="O440" s="4">
        <v>1.1594580108319428</v>
      </c>
      <c r="P440" s="4">
        <v>1.0893657930094902</v>
      </c>
      <c r="Q440" s="4">
        <v>1.0417538339985384</v>
      </c>
      <c r="R440" s="4">
        <f t="shared" si="24"/>
        <v>1.0799049010166131</v>
      </c>
      <c r="S440" s="2">
        <f t="shared" si="25"/>
        <v>7.9904901016613072E-2</v>
      </c>
    </row>
    <row r="441" spans="12:19" x14ac:dyDescent="0.25">
      <c r="L441" s="11">
        <v>427</v>
      </c>
      <c r="M441" s="4">
        <v>1.4171584465957778</v>
      </c>
      <c r="N441" s="4">
        <v>1.183247875536152</v>
      </c>
      <c r="O441" s="4">
        <v>1.3489739453950702</v>
      </c>
      <c r="P441" s="4">
        <v>1.3486304574318067</v>
      </c>
      <c r="Q441" s="4">
        <v>1.1756420677182526</v>
      </c>
      <c r="R441" s="4">
        <f t="shared" si="24"/>
        <v>1.3019141883114727</v>
      </c>
      <c r="S441" s="2">
        <f t="shared" si="25"/>
        <v>0.30191418831147265</v>
      </c>
    </row>
    <row r="442" spans="12:19" x14ac:dyDescent="0.25">
      <c r="L442" s="11">
        <v>428</v>
      </c>
      <c r="M442" s="4">
        <v>1.197509754535808</v>
      </c>
      <c r="N442" s="4">
        <v>1.0283588524557403</v>
      </c>
      <c r="O442" s="4">
        <v>1.1918684667968511</v>
      </c>
      <c r="P442" s="4">
        <v>1.1702127596724488</v>
      </c>
      <c r="Q442" s="4">
        <v>1.0791418629607827</v>
      </c>
      <c r="R442" s="4">
        <f t="shared" si="24"/>
        <v>1.1402313265390103</v>
      </c>
      <c r="S442" s="2">
        <f t="shared" si="25"/>
        <v>0.14023132653901027</v>
      </c>
    </row>
    <row r="443" spans="12:19" x14ac:dyDescent="0.25">
      <c r="L443" s="11">
        <v>429</v>
      </c>
      <c r="M443" s="4">
        <v>1.5056106241220319</v>
      </c>
      <c r="N443" s="4">
        <v>1.2800561657489107</v>
      </c>
      <c r="O443" s="4">
        <v>1.2605084762598266</v>
      </c>
      <c r="P443" s="4">
        <v>1.3664912338956108</v>
      </c>
      <c r="Q443" s="4">
        <v>1.2591406864173782</v>
      </c>
      <c r="R443" s="4">
        <f t="shared" si="24"/>
        <v>1.3337205039947619</v>
      </c>
      <c r="S443" s="2">
        <f t="shared" si="25"/>
        <v>0.33372050399476194</v>
      </c>
    </row>
    <row r="444" spans="12:19" x14ac:dyDescent="0.25">
      <c r="L444" s="11">
        <v>430</v>
      </c>
      <c r="M444" s="4">
        <v>1.8257327749165115</v>
      </c>
      <c r="N444" s="4">
        <v>1.0979997645392523</v>
      </c>
      <c r="O444" s="4">
        <v>1.2174945628112619</v>
      </c>
      <c r="P444" s="4">
        <v>1.4121891416213395</v>
      </c>
      <c r="Q444" s="4">
        <v>1.2296658442945052</v>
      </c>
      <c r="R444" s="4">
        <f t="shared" si="24"/>
        <v>1.3610981030111002</v>
      </c>
      <c r="S444" s="2">
        <f t="shared" si="25"/>
        <v>0.36109810301110024</v>
      </c>
    </row>
    <row r="445" spans="12:19" x14ac:dyDescent="0.25">
      <c r="L445" s="11">
        <v>431</v>
      </c>
      <c r="M445" s="4">
        <v>0.85507651431746312</v>
      </c>
      <c r="N445" s="4">
        <v>0.97630193492097184</v>
      </c>
      <c r="O445" s="4">
        <v>1.0430367292538103</v>
      </c>
      <c r="P445" s="4">
        <v>0.91593813581453676</v>
      </c>
      <c r="Q445" s="4">
        <v>0.99418907431682202</v>
      </c>
      <c r="R445" s="4">
        <f t="shared" si="24"/>
        <v>0.95936569916606684</v>
      </c>
      <c r="S445" s="2">
        <f t="shared" si="25"/>
        <v>-4.0634300833933157E-2</v>
      </c>
    </row>
    <row r="446" spans="12:19" x14ac:dyDescent="0.25">
      <c r="L446" s="11">
        <v>432</v>
      </c>
      <c r="M446" s="4">
        <v>0.52237703734181573</v>
      </c>
      <c r="N446" s="4">
        <v>0.71596636749084774</v>
      </c>
      <c r="O446" s="4">
        <v>0.80195131354859861</v>
      </c>
      <c r="P446" s="4">
        <v>0.64447845207334575</v>
      </c>
      <c r="Q446" s="4">
        <v>0.82646152210102231</v>
      </c>
      <c r="R446" s="4">
        <f t="shared" si="24"/>
        <v>0.70512585951962103</v>
      </c>
      <c r="S446" s="2">
        <f t="shared" si="25"/>
        <v>-0.29487414048037897</v>
      </c>
    </row>
    <row r="447" spans="12:19" x14ac:dyDescent="0.25">
      <c r="L447" s="11">
        <v>433</v>
      </c>
      <c r="M447" s="4">
        <v>1.3413648006800321</v>
      </c>
      <c r="N447" s="4">
        <v>1.1467565675668867</v>
      </c>
      <c r="O447" s="4">
        <v>1.151443637934602</v>
      </c>
      <c r="P447" s="4">
        <v>1.2587217993505795</v>
      </c>
      <c r="Q447" s="4">
        <v>1.1667344021651964</v>
      </c>
      <c r="R447" s="4">
        <f t="shared" si="24"/>
        <v>1.2133789201412657</v>
      </c>
      <c r="S447" s="2">
        <f t="shared" si="25"/>
        <v>0.21337892014126569</v>
      </c>
    </row>
    <row r="448" spans="12:19" x14ac:dyDescent="0.25">
      <c r="L448" s="11">
        <v>434</v>
      </c>
      <c r="M448" s="4">
        <v>1.4876513845405255</v>
      </c>
      <c r="N448" s="4">
        <v>1.1118672430861145</v>
      </c>
      <c r="O448" s="4">
        <v>1.2402848447438739</v>
      </c>
      <c r="P448" s="4">
        <v>1.286581445538703</v>
      </c>
      <c r="Q448" s="4">
        <v>1.1814149702560663</v>
      </c>
      <c r="R448" s="4">
        <f t="shared" si="24"/>
        <v>1.2666068505813881</v>
      </c>
      <c r="S448" s="2">
        <f t="shared" si="25"/>
        <v>0.26660685058138811</v>
      </c>
    </row>
    <row r="449" spans="12:19" x14ac:dyDescent="0.25">
      <c r="L449" s="11">
        <v>435</v>
      </c>
      <c r="M449" s="4">
        <v>1.0935948740028001</v>
      </c>
      <c r="N449" s="4">
        <v>1.0853502194540634</v>
      </c>
      <c r="O449" s="4">
        <v>1.0395693221134568</v>
      </c>
      <c r="P449" s="4">
        <v>1.0503886945326808</v>
      </c>
      <c r="Q449" s="4">
        <v>1.0644618886812403</v>
      </c>
      <c r="R449" s="4">
        <f t="shared" si="24"/>
        <v>1.0646948517119985</v>
      </c>
      <c r="S449" s="2">
        <f t="shared" si="25"/>
        <v>6.4694851711998513E-2</v>
      </c>
    </row>
    <row r="450" spans="12:19" x14ac:dyDescent="0.25">
      <c r="L450" s="11">
        <v>436</v>
      </c>
      <c r="M450" s="4">
        <v>0.50443124297092801</v>
      </c>
      <c r="N450" s="4">
        <v>0.84737253264257284</v>
      </c>
      <c r="O450" s="4">
        <v>0.88778430434302413</v>
      </c>
      <c r="P450" s="4">
        <v>0.63707192599760387</v>
      </c>
      <c r="Q450" s="4">
        <v>0.85641871039911444</v>
      </c>
      <c r="R450" s="4">
        <f t="shared" si="24"/>
        <v>0.74759285695545274</v>
      </c>
      <c r="S450" s="2">
        <f t="shared" si="25"/>
        <v>-0.25240714304454726</v>
      </c>
    </row>
    <row r="451" spans="12:19" x14ac:dyDescent="0.25">
      <c r="L451" s="11">
        <v>437</v>
      </c>
      <c r="M451" s="4">
        <v>2.4271163674992784</v>
      </c>
      <c r="N451" s="4">
        <v>1.5718823328263294</v>
      </c>
      <c r="O451" s="4">
        <v>1.5021607638845751</v>
      </c>
      <c r="P451" s="4">
        <v>1.9887209909816275</v>
      </c>
      <c r="Q451" s="4">
        <v>1.4201768618300148</v>
      </c>
      <c r="R451" s="4">
        <f t="shared" si="24"/>
        <v>1.7807054504740303</v>
      </c>
      <c r="S451" s="2">
        <f t="shared" si="25"/>
        <v>0.78070545047403028</v>
      </c>
    </row>
    <row r="452" spans="12:19" x14ac:dyDescent="0.25">
      <c r="L452" s="11">
        <v>438</v>
      </c>
      <c r="M452" s="4">
        <v>2.1878221118276233</v>
      </c>
      <c r="N452" s="4">
        <v>1.5536652166166836</v>
      </c>
      <c r="O452" s="4">
        <v>1.3579564503454593</v>
      </c>
      <c r="P452" s="4">
        <v>1.7329439037446914</v>
      </c>
      <c r="Q452" s="4">
        <v>1.3573133035646354</v>
      </c>
      <c r="R452" s="4">
        <f t="shared" si="24"/>
        <v>1.6307654833298433</v>
      </c>
      <c r="S452" s="2">
        <f t="shared" si="25"/>
        <v>0.63076548332984328</v>
      </c>
    </row>
    <row r="453" spans="12:19" x14ac:dyDescent="0.25">
      <c r="L453" s="11">
        <v>439</v>
      </c>
      <c r="M453" s="4">
        <v>1.0194867888965982</v>
      </c>
      <c r="N453" s="4">
        <v>1.0875884663558102</v>
      </c>
      <c r="O453" s="4">
        <v>1.1635182040908705</v>
      </c>
      <c r="P453" s="4">
        <v>1.0507288546427176</v>
      </c>
      <c r="Q453" s="4">
        <v>1.0332084066092573</v>
      </c>
      <c r="R453" s="4">
        <f t="shared" si="24"/>
        <v>1.0741065370471374</v>
      </c>
      <c r="S453" s="2">
        <f t="shared" si="25"/>
        <v>7.4106537047137433E-2</v>
      </c>
    </row>
    <row r="454" spans="12:19" x14ac:dyDescent="0.25">
      <c r="L454" s="11">
        <v>440</v>
      </c>
      <c r="M454" s="4">
        <v>0.78085072611782658</v>
      </c>
      <c r="N454" s="4">
        <v>0.94282608464292006</v>
      </c>
      <c r="O454" s="4">
        <v>0.92334099838416894</v>
      </c>
      <c r="P454" s="4">
        <v>0.88806622479037467</v>
      </c>
      <c r="Q454" s="4">
        <v>0.99924148531190304</v>
      </c>
      <c r="R454" s="4">
        <f t="shared" si="24"/>
        <v>0.90584124147725387</v>
      </c>
      <c r="S454" s="2">
        <f t="shared" si="25"/>
        <v>-9.4158758522746133E-2</v>
      </c>
    </row>
    <row r="455" spans="12:19" x14ac:dyDescent="0.25">
      <c r="L455" s="11">
        <v>441</v>
      </c>
      <c r="M455" s="4">
        <v>1.7006152956586722</v>
      </c>
      <c r="N455" s="4">
        <v>1.3197969276345669</v>
      </c>
      <c r="O455" s="4">
        <v>1.2424507854982589</v>
      </c>
      <c r="P455" s="4">
        <v>1.4682950647914434</v>
      </c>
      <c r="Q455" s="4">
        <v>1.2161965283799827</v>
      </c>
      <c r="R455" s="4">
        <f t="shared" si="24"/>
        <v>1.3869688493627905</v>
      </c>
      <c r="S455" s="2">
        <f t="shared" si="25"/>
        <v>0.38696884936279052</v>
      </c>
    </row>
    <row r="456" spans="12:19" x14ac:dyDescent="0.25">
      <c r="L456" s="11">
        <v>442</v>
      </c>
      <c r="M456" s="4">
        <v>0.8002149344251136</v>
      </c>
      <c r="N456" s="4">
        <v>0.84406400703077589</v>
      </c>
      <c r="O456" s="4">
        <v>0.93964387621378165</v>
      </c>
      <c r="P456" s="4">
        <v>0.89528076981294746</v>
      </c>
      <c r="Q456" s="4">
        <v>0.98658115380023437</v>
      </c>
      <c r="R456" s="4">
        <f t="shared" si="24"/>
        <v>0.89672925440299267</v>
      </c>
      <c r="S456" s="2">
        <f t="shared" si="25"/>
        <v>-0.10327074559700733</v>
      </c>
    </row>
    <row r="457" spans="12:19" x14ac:dyDescent="0.25">
      <c r="L457" s="11">
        <v>443</v>
      </c>
      <c r="M457" s="4">
        <v>1.0248209658095877</v>
      </c>
      <c r="N457" s="4">
        <v>1.164782598540232</v>
      </c>
      <c r="O457" s="4">
        <v>1.2063314304511608</v>
      </c>
      <c r="P457" s="4">
        <v>1.0515496360298808</v>
      </c>
      <c r="Q457" s="4">
        <v>1.050998195558045</v>
      </c>
      <c r="R457" s="4">
        <f t="shared" si="24"/>
        <v>1.1014723332029697</v>
      </c>
      <c r="S457" s="2">
        <f t="shared" si="25"/>
        <v>0.10147233320296967</v>
      </c>
    </row>
    <row r="458" spans="12:19" x14ac:dyDescent="0.25">
      <c r="L458" s="11">
        <v>444</v>
      </c>
      <c r="M458" s="4">
        <v>0.81117568745893187</v>
      </c>
      <c r="N458" s="4">
        <v>0.97243154766154372</v>
      </c>
      <c r="O458" s="4">
        <v>0.96146545795067517</v>
      </c>
      <c r="P458" s="4">
        <v>0.89175085911823648</v>
      </c>
      <c r="Q458" s="4">
        <v>0.99069695922964129</v>
      </c>
      <c r="R458" s="4">
        <f t="shared" si="24"/>
        <v>0.92482601757997129</v>
      </c>
      <c r="S458" s="2">
        <f t="shared" si="25"/>
        <v>-7.5173982420028707E-2</v>
      </c>
    </row>
    <row r="459" spans="12:19" x14ac:dyDescent="0.25">
      <c r="L459" s="11">
        <v>445</v>
      </c>
      <c r="M459" s="4">
        <v>1.1893542436832514</v>
      </c>
      <c r="N459" s="4">
        <v>1.0311711599328126</v>
      </c>
      <c r="O459" s="4">
        <v>1.050191783193325</v>
      </c>
      <c r="P459" s="4">
        <v>1.1658171666231234</v>
      </c>
      <c r="Q459" s="4">
        <v>1.0789595262086695</v>
      </c>
      <c r="R459" s="4">
        <f t="shared" si="24"/>
        <v>1.104151789031669</v>
      </c>
      <c r="S459" s="2">
        <f t="shared" si="25"/>
        <v>0.104151789031669</v>
      </c>
    </row>
    <row r="460" spans="12:19" x14ac:dyDescent="0.25">
      <c r="L460" s="11">
        <v>446</v>
      </c>
      <c r="M460" s="4">
        <v>0.95815409487290648</v>
      </c>
      <c r="N460" s="4">
        <v>0.92053579143229802</v>
      </c>
      <c r="O460" s="4">
        <v>1.0208923373124918</v>
      </c>
      <c r="P460" s="4">
        <v>0.98479763185362112</v>
      </c>
      <c r="Q460" s="4">
        <v>1.036385404901804</v>
      </c>
      <c r="R460" s="4">
        <f t="shared" si="24"/>
        <v>0.98793429301906066</v>
      </c>
      <c r="S460" s="2">
        <f t="shared" si="25"/>
        <v>-1.2065706980939339E-2</v>
      </c>
    </row>
    <row r="461" spans="12:19" x14ac:dyDescent="0.25">
      <c r="L461" s="11">
        <v>447</v>
      </c>
      <c r="M461" s="4">
        <v>1.2918519912410904</v>
      </c>
      <c r="N461" s="4">
        <v>1.1347648662836181</v>
      </c>
      <c r="O461" s="4">
        <v>1.1934058962514507</v>
      </c>
      <c r="P461" s="4">
        <v>1.1930867945143679</v>
      </c>
      <c r="Q461" s="4">
        <v>1.1060912366610482</v>
      </c>
      <c r="R461" s="4">
        <f t="shared" si="24"/>
        <v>1.1863254647619632</v>
      </c>
      <c r="S461" s="2">
        <f t="shared" si="25"/>
        <v>0.18632546476196321</v>
      </c>
    </row>
    <row r="462" spans="12:19" x14ac:dyDescent="0.25">
      <c r="L462" s="11">
        <v>448</v>
      </c>
      <c r="M462" s="4">
        <v>1.7849038628115466</v>
      </c>
      <c r="N462" s="4">
        <v>1.483891002493988</v>
      </c>
      <c r="O462" s="4">
        <v>1.436883394993024</v>
      </c>
      <c r="P462" s="4">
        <v>1.5191865344663316</v>
      </c>
      <c r="Q462" s="4">
        <v>1.2709639988825963</v>
      </c>
      <c r="R462" s="4">
        <f t="shared" si="24"/>
        <v>1.4978261935992192</v>
      </c>
      <c r="S462" s="2">
        <f t="shared" si="25"/>
        <v>0.4978261935992192</v>
      </c>
    </row>
    <row r="463" spans="12:19" x14ac:dyDescent="0.25">
      <c r="L463" s="11">
        <v>449</v>
      </c>
      <c r="M463" s="4">
        <v>2.0429698101041351</v>
      </c>
      <c r="N463" s="4">
        <v>1.4474524028641993</v>
      </c>
      <c r="O463" s="4">
        <v>1.2641298272668939</v>
      </c>
      <c r="P463" s="4">
        <v>1.6192931397370591</v>
      </c>
      <c r="Q463" s="4">
        <v>1.2699272770502528</v>
      </c>
      <c r="R463" s="4">
        <f t="shared" ref="R463:R526" si="26">SUMPRODUCT(M463:Q463,$M$8:$Q$8)</f>
        <v>1.5220258604789867</v>
      </c>
      <c r="S463" s="2">
        <f t="shared" si="25"/>
        <v>0.52202586047898669</v>
      </c>
    </row>
    <row r="464" spans="12:19" x14ac:dyDescent="0.25">
      <c r="L464" s="11">
        <v>450</v>
      </c>
      <c r="M464" s="4">
        <v>0.75964072237312763</v>
      </c>
      <c r="N464" s="4">
        <v>1.0079226087142046</v>
      </c>
      <c r="O464" s="4">
        <v>1.1676357816740153</v>
      </c>
      <c r="P464" s="4">
        <v>0.96745961173461537</v>
      </c>
      <c r="Q464" s="4">
        <v>0.9942033802649507</v>
      </c>
      <c r="R464" s="4">
        <f t="shared" si="26"/>
        <v>0.98612522959897631</v>
      </c>
      <c r="S464" s="2">
        <f t="shared" ref="S464:S527" si="27">R464-1</f>
        <v>-1.3874770401023695E-2</v>
      </c>
    </row>
    <row r="465" spans="12:19" x14ac:dyDescent="0.25">
      <c r="L465" s="11">
        <v>451</v>
      </c>
      <c r="M465" s="4">
        <v>2.2858791153058742</v>
      </c>
      <c r="N465" s="4">
        <v>1.2715252968158595</v>
      </c>
      <c r="O465" s="4">
        <v>1.5157382964385051</v>
      </c>
      <c r="P465" s="4">
        <v>1.7681880943763149</v>
      </c>
      <c r="Q465" s="4">
        <v>1.3238941217324036</v>
      </c>
      <c r="R465" s="4">
        <f t="shared" si="26"/>
        <v>1.6434097884873333</v>
      </c>
      <c r="S465" s="2">
        <f t="shared" si="27"/>
        <v>0.64340978848733332</v>
      </c>
    </row>
    <row r="466" spans="12:19" x14ac:dyDescent="0.25">
      <c r="L466" s="11">
        <v>452</v>
      </c>
      <c r="M466" s="4">
        <v>1.5611968038267281</v>
      </c>
      <c r="N466" s="4">
        <v>1.3663064155193583</v>
      </c>
      <c r="O466" s="4">
        <v>1.2463554725722812</v>
      </c>
      <c r="P466" s="4">
        <v>1.4989753138480038</v>
      </c>
      <c r="Q466" s="4">
        <v>1.2175718706121874</v>
      </c>
      <c r="R466" s="4">
        <f t="shared" si="26"/>
        <v>1.3744434642942873</v>
      </c>
      <c r="S466" s="2">
        <f t="shared" si="27"/>
        <v>0.37444346429428732</v>
      </c>
    </row>
    <row r="467" spans="12:19" x14ac:dyDescent="0.25">
      <c r="L467" s="11">
        <v>453</v>
      </c>
      <c r="M467" s="4">
        <v>1.8095982647910267</v>
      </c>
      <c r="N467" s="4">
        <v>1.2668852936705408</v>
      </c>
      <c r="O467" s="4">
        <v>1.5336129732451531</v>
      </c>
      <c r="P467" s="4">
        <v>1.5120235915323452</v>
      </c>
      <c r="Q467" s="4">
        <v>1.2836671370598418</v>
      </c>
      <c r="R467" s="4">
        <f t="shared" si="26"/>
        <v>1.4920349366798729</v>
      </c>
      <c r="S467" s="2">
        <f t="shared" si="27"/>
        <v>0.49203493667987286</v>
      </c>
    </row>
    <row r="468" spans="12:19" x14ac:dyDescent="0.25">
      <c r="L468" s="11">
        <v>454</v>
      </c>
      <c r="M468" s="4">
        <v>1.7874283727566742</v>
      </c>
      <c r="N468" s="4">
        <v>1.1909159661579585</v>
      </c>
      <c r="O468" s="4">
        <v>1.3598249872619643</v>
      </c>
      <c r="P468" s="4">
        <v>1.4758629217324846</v>
      </c>
      <c r="Q468" s="4">
        <v>1.2356364518035119</v>
      </c>
      <c r="R468" s="4">
        <f t="shared" si="26"/>
        <v>1.4169209974570036</v>
      </c>
      <c r="S468" s="2">
        <f t="shared" si="27"/>
        <v>0.41692099745700362</v>
      </c>
    </row>
    <row r="469" spans="12:19" x14ac:dyDescent="0.25">
      <c r="L469" s="11">
        <v>455</v>
      </c>
      <c r="M469" s="4">
        <v>0.79199657661611245</v>
      </c>
      <c r="N469" s="4">
        <v>0.90220181335525806</v>
      </c>
      <c r="O469" s="4">
        <v>0.95379569249571572</v>
      </c>
      <c r="P469" s="4">
        <v>0.86362885747362383</v>
      </c>
      <c r="Q469" s="4">
        <v>0.9418031864640638</v>
      </c>
      <c r="R469" s="4">
        <f t="shared" si="26"/>
        <v>0.89255569269760904</v>
      </c>
      <c r="S469" s="2">
        <f t="shared" si="27"/>
        <v>-0.10744430730239096</v>
      </c>
    </row>
    <row r="470" spans="12:19" x14ac:dyDescent="0.25">
      <c r="L470" s="11">
        <v>456</v>
      </c>
      <c r="M470" s="4">
        <v>1.6596569553943656</v>
      </c>
      <c r="N470" s="4">
        <v>1.2791084585535599</v>
      </c>
      <c r="O470" s="4">
        <v>1.2235037941860778</v>
      </c>
      <c r="P470" s="4">
        <v>1.362690311341757</v>
      </c>
      <c r="Q470" s="4">
        <v>1.2325550742790787</v>
      </c>
      <c r="R470" s="4">
        <f t="shared" si="26"/>
        <v>1.3491548967420566</v>
      </c>
      <c r="S470" s="2">
        <f t="shared" si="27"/>
        <v>0.34915489674205658</v>
      </c>
    </row>
    <row r="471" spans="12:19" x14ac:dyDescent="0.25">
      <c r="L471" s="11">
        <v>457</v>
      </c>
      <c r="M471" s="4">
        <v>2.3046942773571093</v>
      </c>
      <c r="N471" s="4">
        <v>1.3643962349356351</v>
      </c>
      <c r="O471" s="4">
        <v>1.6501014059011294</v>
      </c>
      <c r="P471" s="4">
        <v>1.8170532646128255</v>
      </c>
      <c r="Q471" s="4">
        <v>1.3746588005549136</v>
      </c>
      <c r="R471" s="4">
        <f t="shared" si="26"/>
        <v>1.7142822207535078</v>
      </c>
      <c r="S471" s="2">
        <f t="shared" si="27"/>
        <v>0.71428222075350778</v>
      </c>
    </row>
    <row r="472" spans="12:19" x14ac:dyDescent="0.25">
      <c r="L472" s="11">
        <v>458</v>
      </c>
      <c r="M472" s="4">
        <v>1.2668219438889423</v>
      </c>
      <c r="N472" s="4">
        <v>1.0991309982714008</v>
      </c>
      <c r="O472" s="4">
        <v>1.1166871753954124</v>
      </c>
      <c r="P472" s="4">
        <v>1.1643344698265341</v>
      </c>
      <c r="Q472" s="4">
        <v>1.0985686584967005</v>
      </c>
      <c r="R472" s="4">
        <f t="shared" si="26"/>
        <v>1.1498440018123712</v>
      </c>
      <c r="S472" s="2">
        <f t="shared" si="27"/>
        <v>0.14984400181237123</v>
      </c>
    </row>
    <row r="473" spans="12:19" x14ac:dyDescent="0.25">
      <c r="L473" s="11">
        <v>459</v>
      </c>
      <c r="M473" s="4">
        <v>1.5215692528630096</v>
      </c>
      <c r="N473" s="4">
        <v>1.2893163948182005</v>
      </c>
      <c r="O473" s="4">
        <v>1.2582505007223304</v>
      </c>
      <c r="P473" s="4">
        <v>1.4956650865601095</v>
      </c>
      <c r="Q473" s="4">
        <v>1.171738415865812</v>
      </c>
      <c r="R473" s="4">
        <f t="shared" si="26"/>
        <v>1.3474658487021689</v>
      </c>
      <c r="S473" s="2">
        <f t="shared" si="27"/>
        <v>0.3474658487021689</v>
      </c>
    </row>
    <row r="474" spans="12:19" x14ac:dyDescent="0.25">
      <c r="L474" s="11">
        <v>460</v>
      </c>
      <c r="M474" s="4">
        <v>0.99332607137511986</v>
      </c>
      <c r="N474" s="4">
        <v>1.0897110390261158</v>
      </c>
      <c r="O474" s="4">
        <v>1.1338775857411814</v>
      </c>
      <c r="P474" s="4">
        <v>0.98555624406881792</v>
      </c>
      <c r="Q474" s="4">
        <v>1.0507507778592573</v>
      </c>
      <c r="R474" s="4">
        <f t="shared" si="26"/>
        <v>1.0521205136652343</v>
      </c>
      <c r="S474" s="2">
        <f t="shared" si="27"/>
        <v>5.2120513665234292E-2</v>
      </c>
    </row>
    <row r="475" spans="12:19" x14ac:dyDescent="0.25">
      <c r="L475" s="11">
        <v>461</v>
      </c>
      <c r="M475" s="4">
        <v>1.5340246600995417</v>
      </c>
      <c r="N475" s="4">
        <v>1.248539442743696</v>
      </c>
      <c r="O475" s="4">
        <v>1.3483376457971972</v>
      </c>
      <c r="P475" s="4">
        <v>1.3232919269092391</v>
      </c>
      <c r="Q475" s="4">
        <v>1.1768347457162449</v>
      </c>
      <c r="R475" s="4">
        <f t="shared" si="26"/>
        <v>1.3303360378575844</v>
      </c>
      <c r="S475" s="2">
        <f t="shared" si="27"/>
        <v>0.33033603785758436</v>
      </c>
    </row>
    <row r="476" spans="12:19" x14ac:dyDescent="0.25">
      <c r="L476" s="11">
        <v>462</v>
      </c>
      <c r="M476" s="4">
        <v>1.2506652709004398</v>
      </c>
      <c r="N476" s="4">
        <v>1.144140798435836</v>
      </c>
      <c r="O476" s="4">
        <v>1.1442587406849838</v>
      </c>
      <c r="P476" s="4">
        <v>1.2216360816644303</v>
      </c>
      <c r="Q476" s="4">
        <v>1.121043988151897</v>
      </c>
      <c r="R476" s="4">
        <f t="shared" si="26"/>
        <v>1.1767295072591757</v>
      </c>
      <c r="S476" s="2">
        <f t="shared" si="27"/>
        <v>0.17672950725917569</v>
      </c>
    </row>
    <row r="477" spans="12:19" x14ac:dyDescent="0.25">
      <c r="L477" s="11">
        <v>463</v>
      </c>
      <c r="M477" s="4">
        <v>2.5397971388908793</v>
      </c>
      <c r="N477" s="4">
        <v>1.6367487701627133</v>
      </c>
      <c r="O477" s="4">
        <v>1.4233061051299782</v>
      </c>
      <c r="P477" s="4">
        <v>1.9351554363981931</v>
      </c>
      <c r="Q477" s="4">
        <v>1.4089764872127224</v>
      </c>
      <c r="R477" s="4">
        <f t="shared" si="26"/>
        <v>1.7812194424927195</v>
      </c>
      <c r="S477" s="2">
        <f t="shared" si="27"/>
        <v>0.78121944249271946</v>
      </c>
    </row>
    <row r="478" spans="12:19" x14ac:dyDescent="0.25">
      <c r="L478" s="11">
        <v>464</v>
      </c>
      <c r="M478" s="4">
        <v>1.1435824724407175</v>
      </c>
      <c r="N478" s="4">
        <v>0.99814932470262907</v>
      </c>
      <c r="O478" s="4">
        <v>1.1576416923137403</v>
      </c>
      <c r="P478" s="4">
        <v>1.1422696463541953</v>
      </c>
      <c r="Q478" s="4">
        <v>1.0531686450100437</v>
      </c>
      <c r="R478" s="4">
        <f t="shared" si="26"/>
        <v>1.1056678188098041</v>
      </c>
      <c r="S478" s="2">
        <f t="shared" si="27"/>
        <v>0.10566781880980414</v>
      </c>
    </row>
    <row r="479" spans="12:19" x14ac:dyDescent="0.25">
      <c r="L479" s="11">
        <v>465</v>
      </c>
      <c r="M479" s="4">
        <v>0.72546961450145075</v>
      </c>
      <c r="N479" s="4">
        <v>1.1227576536152231</v>
      </c>
      <c r="O479" s="4">
        <v>1.0932165175896045</v>
      </c>
      <c r="P479" s="4">
        <v>0.91873442099975278</v>
      </c>
      <c r="Q479" s="4">
        <v>0.97932277586376171</v>
      </c>
      <c r="R479" s="4">
        <f t="shared" si="26"/>
        <v>0.96699902929186043</v>
      </c>
      <c r="S479" s="2">
        <f t="shared" si="27"/>
        <v>-3.3000970708139565E-2</v>
      </c>
    </row>
    <row r="480" spans="12:19" x14ac:dyDescent="0.25">
      <c r="L480" s="11">
        <v>466</v>
      </c>
      <c r="M480" s="4">
        <v>0.86624370009897045</v>
      </c>
      <c r="N480" s="4">
        <v>1.0495591560973365</v>
      </c>
      <c r="O480" s="4">
        <v>0.90210994892335528</v>
      </c>
      <c r="P480" s="4">
        <v>0.93225832510729445</v>
      </c>
      <c r="Q480" s="4">
        <v>0.9784629302164809</v>
      </c>
      <c r="R480" s="4">
        <f t="shared" si="26"/>
        <v>0.93985081796507364</v>
      </c>
      <c r="S480" s="2">
        <f t="shared" si="27"/>
        <v>-6.0149182034926363E-2</v>
      </c>
    </row>
    <row r="481" spans="12:19" x14ac:dyDescent="0.25">
      <c r="L481" s="11">
        <v>467</v>
      </c>
      <c r="M481" s="4">
        <v>3.4079156063793574</v>
      </c>
      <c r="N481" s="4">
        <v>1.5757427006018689</v>
      </c>
      <c r="O481" s="4">
        <v>1.5224953553315244</v>
      </c>
      <c r="P481" s="4">
        <v>2.2188617056058586</v>
      </c>
      <c r="Q481" s="4">
        <v>1.5794383350208907</v>
      </c>
      <c r="R481" s="4">
        <f t="shared" si="26"/>
        <v>2.0586539496330039</v>
      </c>
      <c r="S481" s="2">
        <f t="shared" si="27"/>
        <v>1.0586539496330039</v>
      </c>
    </row>
    <row r="482" spans="12:19" x14ac:dyDescent="0.25">
      <c r="L482" s="11">
        <v>468</v>
      </c>
      <c r="M482" s="4">
        <v>0.51037035945349574</v>
      </c>
      <c r="N482" s="4">
        <v>0.85653927603145275</v>
      </c>
      <c r="O482" s="4">
        <v>0.8537805416437857</v>
      </c>
      <c r="P482" s="4">
        <v>0.66643778235373619</v>
      </c>
      <c r="Q482" s="4">
        <v>0.86455139602676523</v>
      </c>
      <c r="R482" s="4">
        <f t="shared" si="26"/>
        <v>0.7497434101967666</v>
      </c>
      <c r="S482" s="2">
        <f t="shared" si="27"/>
        <v>-0.2502565898032334</v>
      </c>
    </row>
    <row r="483" spans="12:19" x14ac:dyDescent="0.25">
      <c r="L483" s="11">
        <v>469</v>
      </c>
      <c r="M483" s="4">
        <v>1.0322309319588503</v>
      </c>
      <c r="N483" s="4">
        <v>1.0382222624068023</v>
      </c>
      <c r="O483" s="4">
        <v>1.1234726789412732</v>
      </c>
      <c r="P483" s="4">
        <v>1.0799505167408574</v>
      </c>
      <c r="Q483" s="4">
        <v>1.1055969084713457</v>
      </c>
      <c r="R483" s="4">
        <f t="shared" si="26"/>
        <v>1.0792610016113007</v>
      </c>
      <c r="S483" s="2">
        <f t="shared" si="27"/>
        <v>7.9261001611300674E-2</v>
      </c>
    </row>
    <row r="484" spans="12:19" x14ac:dyDescent="0.25">
      <c r="L484" s="11">
        <v>470</v>
      </c>
      <c r="M484" s="4">
        <v>1.0594148920810242</v>
      </c>
      <c r="N484" s="4">
        <v>0.97920237561562828</v>
      </c>
      <c r="O484" s="4">
        <v>1.2448870916926924</v>
      </c>
      <c r="P484" s="4">
        <v>1.1352907935234806</v>
      </c>
      <c r="Q484" s="4">
        <v>1.1047392660429438</v>
      </c>
      <c r="R484" s="4">
        <f t="shared" si="26"/>
        <v>1.1155399885692456</v>
      </c>
      <c r="S484" s="2">
        <f t="shared" si="27"/>
        <v>0.11553998856924563</v>
      </c>
    </row>
    <row r="485" spans="12:19" x14ac:dyDescent="0.25">
      <c r="L485" s="11">
        <v>471</v>
      </c>
      <c r="M485" s="4">
        <v>1.6431770315637479</v>
      </c>
      <c r="N485" s="4">
        <v>1.0652972957056266</v>
      </c>
      <c r="O485" s="4">
        <v>1.465259953306953</v>
      </c>
      <c r="P485" s="4">
        <v>1.4595466759810882</v>
      </c>
      <c r="Q485" s="4">
        <v>1.2293834813068301</v>
      </c>
      <c r="R485" s="4">
        <f t="shared" si="26"/>
        <v>1.3889279552190728</v>
      </c>
      <c r="S485" s="2">
        <f t="shared" si="27"/>
        <v>0.38892795521907275</v>
      </c>
    </row>
    <row r="486" spans="12:19" x14ac:dyDescent="0.25">
      <c r="L486" s="11">
        <v>472</v>
      </c>
      <c r="M486" s="4">
        <v>1.5210838777723161</v>
      </c>
      <c r="N486" s="4">
        <v>1.0395288998804912</v>
      </c>
      <c r="O486" s="4">
        <v>1.2939523517703146</v>
      </c>
      <c r="P486" s="4">
        <v>1.4394574347679268</v>
      </c>
      <c r="Q486" s="4">
        <v>1.2133852940439505</v>
      </c>
      <c r="R486" s="4">
        <f t="shared" si="26"/>
        <v>1.3123073046512335</v>
      </c>
      <c r="S486" s="2">
        <f t="shared" si="27"/>
        <v>0.31230730465123346</v>
      </c>
    </row>
    <row r="487" spans="12:19" x14ac:dyDescent="0.25">
      <c r="L487" s="11">
        <v>473</v>
      </c>
      <c r="M487" s="4">
        <v>2.719554897782074</v>
      </c>
      <c r="N487" s="4">
        <v>1.4766946702663371</v>
      </c>
      <c r="O487" s="4">
        <v>1.4148474416184171</v>
      </c>
      <c r="P487" s="4">
        <v>1.9937579493639945</v>
      </c>
      <c r="Q487" s="4">
        <v>1.4829677046497671</v>
      </c>
      <c r="R487" s="4">
        <f t="shared" si="26"/>
        <v>1.8155501678479466</v>
      </c>
      <c r="S487" s="2">
        <f t="shared" si="27"/>
        <v>0.81555016784794665</v>
      </c>
    </row>
    <row r="488" spans="12:19" x14ac:dyDescent="0.25">
      <c r="L488" s="11">
        <v>474</v>
      </c>
      <c r="M488" s="4">
        <v>1.6599932806180209</v>
      </c>
      <c r="N488" s="4">
        <v>1.3786462231813674</v>
      </c>
      <c r="O488" s="4">
        <v>1.3820316025812069</v>
      </c>
      <c r="P488" s="4">
        <v>1.4564429999465953</v>
      </c>
      <c r="Q488" s="4">
        <v>1.2152244243069337</v>
      </c>
      <c r="R488" s="4">
        <f t="shared" si="26"/>
        <v>1.4192309655980639</v>
      </c>
      <c r="S488" s="2">
        <f t="shared" si="27"/>
        <v>0.41923096559806394</v>
      </c>
    </row>
    <row r="489" spans="12:19" x14ac:dyDescent="0.25">
      <c r="L489" s="11">
        <v>475</v>
      </c>
      <c r="M489" s="4">
        <v>1.9712326525348047</v>
      </c>
      <c r="N489" s="4">
        <v>1.4241045131104648</v>
      </c>
      <c r="O489" s="4">
        <v>1.4572573048828057</v>
      </c>
      <c r="P489" s="4">
        <v>1.5725196538949919</v>
      </c>
      <c r="Q489" s="4">
        <v>1.3072773105048368</v>
      </c>
      <c r="R489" s="4">
        <f t="shared" si="26"/>
        <v>1.5480353566044083</v>
      </c>
      <c r="S489" s="2">
        <f t="shared" si="27"/>
        <v>0.54803535660440827</v>
      </c>
    </row>
    <row r="490" spans="12:19" x14ac:dyDescent="0.25">
      <c r="L490" s="11">
        <v>476</v>
      </c>
      <c r="M490" s="4">
        <v>1.1635812126249352</v>
      </c>
      <c r="N490" s="4">
        <v>1.2137082514076116</v>
      </c>
      <c r="O490" s="4">
        <v>1.2095452329716583</v>
      </c>
      <c r="P490" s="4">
        <v>1.1510870910389581</v>
      </c>
      <c r="Q490" s="4">
        <v>1.1023118808714409</v>
      </c>
      <c r="R490" s="4">
        <f t="shared" si="26"/>
        <v>1.1681150659478285</v>
      </c>
      <c r="S490" s="2">
        <f t="shared" si="27"/>
        <v>0.16811506594782855</v>
      </c>
    </row>
    <row r="491" spans="12:19" x14ac:dyDescent="0.25">
      <c r="L491" s="11">
        <v>477</v>
      </c>
      <c r="M491" s="4">
        <v>2.366123437793985</v>
      </c>
      <c r="N491" s="4">
        <v>1.391458747133109</v>
      </c>
      <c r="O491" s="4">
        <v>1.508476162331863</v>
      </c>
      <c r="P491" s="4">
        <v>1.8619528036777813</v>
      </c>
      <c r="Q491" s="4">
        <v>1.3421693059019291</v>
      </c>
      <c r="R491" s="4">
        <f t="shared" si="26"/>
        <v>1.6997450580910023</v>
      </c>
      <c r="S491" s="2">
        <f t="shared" si="27"/>
        <v>0.69974505809100229</v>
      </c>
    </row>
    <row r="492" spans="12:19" x14ac:dyDescent="0.25">
      <c r="L492" s="11">
        <v>478</v>
      </c>
      <c r="M492" s="4">
        <v>0.64229230471814147</v>
      </c>
      <c r="N492" s="4">
        <v>0.9727033612373196</v>
      </c>
      <c r="O492" s="4">
        <v>0.97307523685681463</v>
      </c>
      <c r="P492" s="4">
        <v>0.8359420038180273</v>
      </c>
      <c r="Q492" s="4">
        <v>0.95407723448274406</v>
      </c>
      <c r="R492" s="4">
        <f t="shared" si="26"/>
        <v>0.87559996329618883</v>
      </c>
      <c r="S492" s="2">
        <f t="shared" si="27"/>
        <v>-0.12440003670381117</v>
      </c>
    </row>
    <row r="493" spans="12:19" x14ac:dyDescent="0.25">
      <c r="L493" s="11">
        <v>479</v>
      </c>
      <c r="M493" s="4">
        <v>1.5046857377225651</v>
      </c>
      <c r="N493" s="4">
        <v>1.4171950700723055</v>
      </c>
      <c r="O493" s="4">
        <v>1.2870736974091286</v>
      </c>
      <c r="P493" s="4">
        <v>1.3090830050446267</v>
      </c>
      <c r="Q493" s="4">
        <v>1.2069177575096859</v>
      </c>
      <c r="R493" s="4">
        <f t="shared" si="26"/>
        <v>1.3398794694796718</v>
      </c>
      <c r="S493" s="2">
        <f t="shared" si="27"/>
        <v>0.33987946947967185</v>
      </c>
    </row>
    <row r="494" spans="12:19" x14ac:dyDescent="0.25">
      <c r="L494" s="11">
        <v>480</v>
      </c>
      <c r="M494" s="4">
        <v>0.95547410267034161</v>
      </c>
      <c r="N494" s="4">
        <v>1.0855160075413466</v>
      </c>
      <c r="O494" s="4">
        <v>1.0235594278958642</v>
      </c>
      <c r="P494" s="4">
        <v>0.95411267919411558</v>
      </c>
      <c r="Q494" s="4">
        <v>1.0021229755637435</v>
      </c>
      <c r="R494" s="4">
        <f t="shared" si="26"/>
        <v>1.0015194512793124</v>
      </c>
      <c r="S494" s="2">
        <f t="shared" si="27"/>
        <v>1.5194512793124115E-3</v>
      </c>
    </row>
    <row r="495" spans="12:19" x14ac:dyDescent="0.25">
      <c r="L495" s="11">
        <v>481</v>
      </c>
      <c r="M495" s="4">
        <v>2.4625112050282691</v>
      </c>
      <c r="N495" s="4">
        <v>1.4584266107480608</v>
      </c>
      <c r="O495" s="4">
        <v>1.4794099350001573</v>
      </c>
      <c r="P495" s="4">
        <v>1.6921624080257394</v>
      </c>
      <c r="Q495" s="4">
        <v>1.4401388984580885</v>
      </c>
      <c r="R495" s="4">
        <f t="shared" si="26"/>
        <v>1.7065975757576297</v>
      </c>
      <c r="S495" s="2">
        <f t="shared" si="27"/>
        <v>0.70659757575762971</v>
      </c>
    </row>
    <row r="496" spans="12:19" x14ac:dyDescent="0.25">
      <c r="L496" s="11">
        <v>482</v>
      </c>
      <c r="M496" s="4">
        <v>1.0993865334832353</v>
      </c>
      <c r="N496" s="4">
        <v>1.1196580449382911</v>
      </c>
      <c r="O496" s="4">
        <v>1.0969581653018983</v>
      </c>
      <c r="P496" s="4">
        <v>1.0835693765119219</v>
      </c>
      <c r="Q496" s="4">
        <v>1.0682621033534394</v>
      </c>
      <c r="R496" s="4">
        <f t="shared" si="26"/>
        <v>1.0927156416594095</v>
      </c>
      <c r="S496" s="2">
        <f t="shared" si="27"/>
        <v>9.2715641659409487E-2</v>
      </c>
    </row>
    <row r="497" spans="12:19" x14ac:dyDescent="0.25">
      <c r="L497" s="11">
        <v>483</v>
      </c>
      <c r="M497" s="4">
        <v>1.1860290588927478</v>
      </c>
      <c r="N497" s="4">
        <v>1.2255157398278937</v>
      </c>
      <c r="O497" s="4">
        <v>1.1351507591611463</v>
      </c>
      <c r="P497" s="4">
        <v>1.2570500224680274</v>
      </c>
      <c r="Q497" s="4">
        <v>1.1671139703551698</v>
      </c>
      <c r="R497" s="4">
        <f t="shared" si="26"/>
        <v>1.1911634319149496</v>
      </c>
      <c r="S497" s="2">
        <f t="shared" si="27"/>
        <v>0.19116343191494956</v>
      </c>
    </row>
    <row r="498" spans="12:19" x14ac:dyDescent="0.25">
      <c r="L498" s="11">
        <v>484</v>
      </c>
      <c r="M498" s="4">
        <v>0.82284913419170924</v>
      </c>
      <c r="N498" s="4">
        <v>0.96631638854220614</v>
      </c>
      <c r="O498" s="4">
        <v>1.08055756829518</v>
      </c>
      <c r="P498" s="4">
        <v>0.90494372932726364</v>
      </c>
      <c r="Q498" s="4">
        <v>0.96098746563764037</v>
      </c>
      <c r="R498" s="4">
        <f t="shared" si="26"/>
        <v>0.9516379930442439</v>
      </c>
      <c r="S498" s="2">
        <f t="shared" si="27"/>
        <v>-4.8362006955756098E-2</v>
      </c>
    </row>
    <row r="499" spans="12:19" x14ac:dyDescent="0.25">
      <c r="L499" s="11">
        <v>485</v>
      </c>
      <c r="M499" s="4">
        <v>1.1160575856655628</v>
      </c>
      <c r="N499" s="4">
        <v>1.0510956160676534</v>
      </c>
      <c r="O499" s="4">
        <v>1.0693812248945735</v>
      </c>
      <c r="P499" s="4">
        <v>1.0748445807766853</v>
      </c>
      <c r="Q499" s="4">
        <v>1.059989503654948</v>
      </c>
      <c r="R499" s="4">
        <f t="shared" si="26"/>
        <v>1.0749618149688365</v>
      </c>
      <c r="S499" s="2">
        <f t="shared" si="27"/>
        <v>7.4961814968836471E-2</v>
      </c>
    </row>
    <row r="500" spans="12:19" x14ac:dyDescent="0.25">
      <c r="L500" s="11">
        <v>486</v>
      </c>
      <c r="M500" s="4">
        <v>2.6237737108652217</v>
      </c>
      <c r="N500" s="4">
        <v>1.5593974268612063</v>
      </c>
      <c r="O500" s="4">
        <v>1.3827179006934016</v>
      </c>
      <c r="P500" s="4">
        <v>1.9891677366278862</v>
      </c>
      <c r="Q500" s="4">
        <v>1.4308675210521418</v>
      </c>
      <c r="R500" s="4">
        <f t="shared" si="26"/>
        <v>1.7910898985945378</v>
      </c>
      <c r="S500" s="2">
        <f t="shared" si="27"/>
        <v>0.79108989859453782</v>
      </c>
    </row>
    <row r="501" spans="12:19" x14ac:dyDescent="0.25">
      <c r="L501" s="11">
        <v>487</v>
      </c>
      <c r="M501" s="4">
        <v>2.196818847778935</v>
      </c>
      <c r="N501" s="4">
        <v>1.2151726832155527</v>
      </c>
      <c r="O501" s="4">
        <v>1.1946992244470702</v>
      </c>
      <c r="P501" s="4">
        <v>1.6812690536652244</v>
      </c>
      <c r="Q501" s="4">
        <v>1.3226080077552249</v>
      </c>
      <c r="R501" s="4">
        <f t="shared" si="26"/>
        <v>1.5215492622577194</v>
      </c>
      <c r="S501" s="2">
        <f t="shared" si="27"/>
        <v>0.52154926225771936</v>
      </c>
    </row>
    <row r="502" spans="12:19" x14ac:dyDescent="0.25">
      <c r="L502" s="11">
        <v>488</v>
      </c>
      <c r="M502" s="4">
        <v>0.99259035188687073</v>
      </c>
      <c r="N502" s="4">
        <v>1.3095103916305715</v>
      </c>
      <c r="O502" s="4">
        <v>1.181608594081581</v>
      </c>
      <c r="P502" s="4">
        <v>1.1193138113382253</v>
      </c>
      <c r="Q502" s="4">
        <v>1.1161868988402135</v>
      </c>
      <c r="R502" s="4">
        <f t="shared" si="26"/>
        <v>1.1391632495491193</v>
      </c>
      <c r="S502" s="2">
        <f t="shared" si="27"/>
        <v>0.13916324954911929</v>
      </c>
    </row>
    <row r="503" spans="12:19" x14ac:dyDescent="0.25">
      <c r="L503" s="11">
        <v>489</v>
      </c>
      <c r="M503" s="4">
        <v>1.8744560805864638</v>
      </c>
      <c r="N503" s="4">
        <v>1.0609085746172739</v>
      </c>
      <c r="O503" s="4">
        <v>1.624695104282321</v>
      </c>
      <c r="P503" s="4">
        <v>1.5434253662128934</v>
      </c>
      <c r="Q503" s="4">
        <v>1.2737835700869555</v>
      </c>
      <c r="R503" s="4">
        <f t="shared" si="26"/>
        <v>1.4981611006810009</v>
      </c>
      <c r="S503" s="2">
        <f t="shared" si="27"/>
        <v>0.49816110068100095</v>
      </c>
    </row>
    <row r="504" spans="12:19" x14ac:dyDescent="0.25">
      <c r="L504" s="11">
        <v>490</v>
      </c>
      <c r="M504" s="4">
        <v>0.77791504000763601</v>
      </c>
      <c r="N504" s="4">
        <v>0.96275750713062047</v>
      </c>
      <c r="O504" s="4">
        <v>0.95122374923154707</v>
      </c>
      <c r="P504" s="4">
        <v>0.91629055216010213</v>
      </c>
      <c r="Q504" s="4">
        <v>0.98891534075273191</v>
      </c>
      <c r="R504" s="4">
        <f t="shared" si="26"/>
        <v>0.91896986929907987</v>
      </c>
      <c r="S504" s="2">
        <f t="shared" si="27"/>
        <v>-8.1030130700920133E-2</v>
      </c>
    </row>
    <row r="505" spans="12:19" x14ac:dyDescent="0.25">
      <c r="L505" s="11">
        <v>491</v>
      </c>
      <c r="M505" s="4">
        <v>2.5080462154169862</v>
      </c>
      <c r="N505" s="4">
        <v>1.3894278456221441</v>
      </c>
      <c r="O505" s="4">
        <v>1.4757406034476677</v>
      </c>
      <c r="P505" s="4">
        <v>1.9815658259474387</v>
      </c>
      <c r="Q505" s="4">
        <v>1.3744009316316177</v>
      </c>
      <c r="R505" s="4">
        <f t="shared" si="26"/>
        <v>1.7506303549633841</v>
      </c>
      <c r="S505" s="2">
        <f t="shared" si="27"/>
        <v>0.75063035496338415</v>
      </c>
    </row>
    <row r="506" spans="12:19" x14ac:dyDescent="0.25">
      <c r="L506" s="11">
        <v>492</v>
      </c>
      <c r="M506" s="4">
        <v>4.9195160432886897</v>
      </c>
      <c r="N506" s="4">
        <v>2.0929158687201088</v>
      </c>
      <c r="O506" s="4">
        <v>1.772935267947386</v>
      </c>
      <c r="P506" s="4">
        <v>3.1334680791194831</v>
      </c>
      <c r="Q506" s="4">
        <v>1.7856347953427143</v>
      </c>
      <c r="R506" s="4">
        <f t="shared" si="26"/>
        <v>2.7298049274968337</v>
      </c>
      <c r="S506" s="2">
        <f t="shared" si="27"/>
        <v>1.7298049274968337</v>
      </c>
    </row>
    <row r="507" spans="12:19" x14ac:dyDescent="0.25">
      <c r="L507" s="11">
        <v>493</v>
      </c>
      <c r="M507" s="4">
        <v>2.0697949675124181</v>
      </c>
      <c r="N507" s="4">
        <v>1.4214152223841168</v>
      </c>
      <c r="O507" s="4">
        <v>1.349219895011867</v>
      </c>
      <c r="P507" s="4">
        <v>1.6451776191562166</v>
      </c>
      <c r="Q507" s="4">
        <v>1.3173585715695095</v>
      </c>
      <c r="R507" s="4">
        <f t="shared" si="26"/>
        <v>1.5581580702292985</v>
      </c>
      <c r="S507" s="2">
        <f t="shared" si="27"/>
        <v>0.55815807022929853</v>
      </c>
    </row>
    <row r="508" spans="12:19" x14ac:dyDescent="0.25">
      <c r="L508" s="11">
        <v>494</v>
      </c>
      <c r="M508" s="4">
        <v>2.7724519635768283</v>
      </c>
      <c r="N508" s="4">
        <v>1.5600740922540066</v>
      </c>
      <c r="O508" s="4">
        <v>1.3719300226898603</v>
      </c>
      <c r="P508" s="4">
        <v>1.8530216960637009</v>
      </c>
      <c r="Q508" s="4">
        <v>1.4411049693965683</v>
      </c>
      <c r="R508" s="4">
        <f t="shared" si="26"/>
        <v>1.7918373111133492</v>
      </c>
      <c r="S508" s="2">
        <f t="shared" si="27"/>
        <v>0.79183731111334921</v>
      </c>
    </row>
    <row r="509" spans="12:19" x14ac:dyDescent="0.25">
      <c r="L509" s="11">
        <v>495</v>
      </c>
      <c r="M509" s="4">
        <v>1.3904365167274677</v>
      </c>
      <c r="N509" s="4">
        <v>1.156472923918598</v>
      </c>
      <c r="O509" s="4">
        <v>1.1009334358677734</v>
      </c>
      <c r="P509" s="4">
        <v>1.2820298473274871</v>
      </c>
      <c r="Q509" s="4">
        <v>1.1678031482010593</v>
      </c>
      <c r="R509" s="4">
        <f t="shared" si="26"/>
        <v>1.2175500701447752</v>
      </c>
      <c r="S509" s="2">
        <f t="shared" si="27"/>
        <v>0.21755007014477523</v>
      </c>
    </row>
    <row r="510" spans="12:19" x14ac:dyDescent="0.25">
      <c r="L510" s="11">
        <v>496</v>
      </c>
      <c r="M510" s="4">
        <v>2.461464221666724</v>
      </c>
      <c r="N510" s="4">
        <v>1.3998754216634273</v>
      </c>
      <c r="O510" s="4">
        <v>1.5106904384261783</v>
      </c>
      <c r="P510" s="4">
        <v>1.9427221637613448</v>
      </c>
      <c r="Q510" s="4">
        <v>1.4121240601004055</v>
      </c>
      <c r="R510" s="4">
        <f t="shared" si="26"/>
        <v>1.7508192952400425</v>
      </c>
      <c r="S510" s="2">
        <f t="shared" si="27"/>
        <v>0.75081929524004254</v>
      </c>
    </row>
    <row r="511" spans="12:19" x14ac:dyDescent="0.25">
      <c r="L511" s="11">
        <v>497</v>
      </c>
      <c r="M511" s="4">
        <v>1.3211687659093623</v>
      </c>
      <c r="N511" s="4">
        <v>1.3246014782149444</v>
      </c>
      <c r="O511" s="4">
        <v>1.2631116572576673</v>
      </c>
      <c r="P511" s="4">
        <v>1.330876351465146</v>
      </c>
      <c r="Q511" s="4">
        <v>1.1710417346136881</v>
      </c>
      <c r="R511" s="4">
        <f t="shared" si="26"/>
        <v>1.2805004486205349</v>
      </c>
      <c r="S511" s="2">
        <f t="shared" si="27"/>
        <v>0.28050044862053491</v>
      </c>
    </row>
    <row r="512" spans="12:19" x14ac:dyDescent="0.25">
      <c r="L512" s="11">
        <v>498</v>
      </c>
      <c r="M512" s="4">
        <v>1.9836914756539612</v>
      </c>
      <c r="N512" s="4">
        <v>1.5602432287458108</v>
      </c>
      <c r="O512" s="4">
        <v>1.3379442131531476</v>
      </c>
      <c r="P512" s="4">
        <v>1.5823598137892525</v>
      </c>
      <c r="Q512" s="4">
        <v>1.2920082824615053</v>
      </c>
      <c r="R512" s="4">
        <f t="shared" si="26"/>
        <v>1.5428113999806499</v>
      </c>
      <c r="S512" s="2">
        <f t="shared" si="27"/>
        <v>0.54281139998064987</v>
      </c>
    </row>
    <row r="513" spans="12:19" x14ac:dyDescent="0.25">
      <c r="L513" s="11">
        <v>499</v>
      </c>
      <c r="M513" s="4">
        <v>0.76793946538138813</v>
      </c>
      <c r="N513" s="4">
        <v>1.1137693604266499</v>
      </c>
      <c r="O513" s="4">
        <v>0.9751558200838325</v>
      </c>
      <c r="P513" s="4">
        <v>0.88676141392713259</v>
      </c>
      <c r="Q513" s="4">
        <v>1.005046626055736</v>
      </c>
      <c r="R513" s="4">
        <f t="shared" si="26"/>
        <v>0.94404449353550102</v>
      </c>
      <c r="S513" s="2">
        <f t="shared" si="27"/>
        <v>-5.5955506464498983E-2</v>
      </c>
    </row>
    <row r="514" spans="12:19" x14ac:dyDescent="0.25">
      <c r="L514" s="11">
        <v>500</v>
      </c>
      <c r="M514" s="4">
        <v>1.7859824001018449</v>
      </c>
      <c r="N514" s="4">
        <v>1.2790030402612613</v>
      </c>
      <c r="O514" s="4">
        <v>1.2059668500242884</v>
      </c>
      <c r="P514" s="4">
        <v>1.5722802311621047</v>
      </c>
      <c r="Q514" s="4">
        <v>1.2762749949059451</v>
      </c>
      <c r="R514" s="4">
        <f t="shared" si="26"/>
        <v>1.4217577202920215</v>
      </c>
      <c r="S514" s="2">
        <f t="shared" si="27"/>
        <v>0.42175772029202152</v>
      </c>
    </row>
    <row r="515" spans="12:19" x14ac:dyDescent="0.25">
      <c r="L515" s="11">
        <v>501</v>
      </c>
      <c r="M515" s="4">
        <v>1.9647553710030277</v>
      </c>
      <c r="N515" s="4">
        <v>1.3419059057248013</v>
      </c>
      <c r="O515" s="4">
        <v>1.2953842843331662</v>
      </c>
      <c r="P515" s="4">
        <v>1.547180678477482</v>
      </c>
      <c r="Q515" s="4">
        <v>1.2788159520549294</v>
      </c>
      <c r="R515" s="4">
        <f t="shared" si="26"/>
        <v>1.4839356286860146</v>
      </c>
      <c r="S515" s="2">
        <f t="shared" si="27"/>
        <v>0.48393562868601459</v>
      </c>
    </row>
    <row r="516" spans="12:19" x14ac:dyDescent="0.25">
      <c r="L516" s="11">
        <v>502</v>
      </c>
      <c r="M516" s="4">
        <v>2.2234224363671951</v>
      </c>
      <c r="N516" s="4">
        <v>1.4955984685089385</v>
      </c>
      <c r="O516" s="4">
        <v>1.3164374787367827</v>
      </c>
      <c r="P516" s="4">
        <v>1.8246253850730267</v>
      </c>
      <c r="Q516" s="4">
        <v>1.3640868166738227</v>
      </c>
      <c r="R516" s="4">
        <f t="shared" si="26"/>
        <v>1.6387902749096139</v>
      </c>
      <c r="S516" s="2">
        <f t="shared" si="27"/>
        <v>0.63879027490961393</v>
      </c>
    </row>
    <row r="517" spans="12:19" x14ac:dyDescent="0.25">
      <c r="L517" s="11">
        <v>503</v>
      </c>
      <c r="M517" s="4">
        <v>0.58657808255843824</v>
      </c>
      <c r="N517" s="4">
        <v>0.89291949154241645</v>
      </c>
      <c r="O517" s="4">
        <v>0.99510254809961685</v>
      </c>
      <c r="P517" s="4">
        <v>0.74857698325398847</v>
      </c>
      <c r="Q517" s="4">
        <v>0.92106929870031229</v>
      </c>
      <c r="R517" s="4">
        <f t="shared" si="26"/>
        <v>0.83255023713595389</v>
      </c>
      <c r="S517" s="2">
        <f t="shared" si="27"/>
        <v>-0.16744976286404611</v>
      </c>
    </row>
    <row r="518" spans="12:19" x14ac:dyDescent="0.25">
      <c r="L518" s="11">
        <v>504</v>
      </c>
      <c r="M518" s="4">
        <v>1.015332056308164</v>
      </c>
      <c r="N518" s="4">
        <v>1.0119370375949019</v>
      </c>
      <c r="O518" s="4">
        <v>1.3706954142013268</v>
      </c>
      <c r="P518" s="4">
        <v>1.0615232041673235</v>
      </c>
      <c r="Q518" s="4">
        <v>1.0436468363877185</v>
      </c>
      <c r="R518" s="4">
        <f t="shared" si="26"/>
        <v>1.1150835965318528</v>
      </c>
      <c r="S518" s="2">
        <f t="shared" si="27"/>
        <v>0.11508359653185285</v>
      </c>
    </row>
    <row r="519" spans="12:19" x14ac:dyDescent="0.25">
      <c r="L519" s="11">
        <v>505</v>
      </c>
      <c r="M519" s="4">
        <v>0.60009235239780534</v>
      </c>
      <c r="N519" s="4">
        <v>0.86879032330665629</v>
      </c>
      <c r="O519" s="4">
        <v>0.93740016914826818</v>
      </c>
      <c r="P519" s="4">
        <v>0.7474574780935116</v>
      </c>
      <c r="Q519" s="4">
        <v>0.86720703121475085</v>
      </c>
      <c r="R519" s="4">
        <f t="shared" si="26"/>
        <v>0.80676075772418887</v>
      </c>
      <c r="S519" s="2">
        <f t="shared" si="27"/>
        <v>-0.19323924227581113</v>
      </c>
    </row>
    <row r="520" spans="12:19" x14ac:dyDescent="0.25">
      <c r="L520" s="11">
        <v>506</v>
      </c>
      <c r="M520" s="4">
        <v>1.1694833762536763</v>
      </c>
      <c r="N520" s="4">
        <v>1.0916677648354749</v>
      </c>
      <c r="O520" s="4">
        <v>1.2108920542862232</v>
      </c>
      <c r="P520" s="4">
        <v>1.1027580780956059</v>
      </c>
      <c r="Q520" s="4">
        <v>1.0862095251587967</v>
      </c>
      <c r="R520" s="4">
        <f t="shared" si="26"/>
        <v>1.136861158951062</v>
      </c>
      <c r="S520" s="2">
        <f t="shared" si="27"/>
        <v>0.13686115895106199</v>
      </c>
    </row>
    <row r="521" spans="12:19" x14ac:dyDescent="0.25">
      <c r="L521" s="11">
        <v>507</v>
      </c>
      <c r="M521" s="4">
        <v>3.0585812194521234</v>
      </c>
      <c r="N521" s="4">
        <v>1.6651157705803785</v>
      </c>
      <c r="O521" s="4">
        <v>1.6741552966553801</v>
      </c>
      <c r="P521" s="4">
        <v>2.2757397914172572</v>
      </c>
      <c r="Q521" s="4">
        <v>1.4933505340912885</v>
      </c>
      <c r="R521" s="4">
        <f t="shared" si="26"/>
        <v>2.0353181160360543</v>
      </c>
      <c r="S521" s="2">
        <f t="shared" si="27"/>
        <v>1.0353181160360543</v>
      </c>
    </row>
    <row r="522" spans="12:19" x14ac:dyDescent="0.25">
      <c r="L522" s="11">
        <v>508</v>
      </c>
      <c r="M522" s="4">
        <v>0.89144577677960823</v>
      </c>
      <c r="N522" s="4">
        <v>1.1437811323607476</v>
      </c>
      <c r="O522" s="4">
        <v>1.1373049057696951</v>
      </c>
      <c r="P522" s="4">
        <v>1.0738499453096109</v>
      </c>
      <c r="Q522" s="4">
        <v>1.0725007945114957</v>
      </c>
      <c r="R522" s="4">
        <f t="shared" si="26"/>
        <v>1.0640006154572088</v>
      </c>
      <c r="S522" s="2">
        <f t="shared" si="27"/>
        <v>6.4000615457208809E-2</v>
      </c>
    </row>
    <row r="523" spans="12:19" x14ac:dyDescent="0.25">
      <c r="L523" s="11">
        <v>509</v>
      </c>
      <c r="M523" s="4">
        <v>1.6178459302985528</v>
      </c>
      <c r="N523" s="4">
        <v>1.5413446738844432</v>
      </c>
      <c r="O523" s="4">
        <v>1.2284513525769556</v>
      </c>
      <c r="P523" s="4">
        <v>1.4376578759144443</v>
      </c>
      <c r="Q523" s="4">
        <v>1.231530061326553</v>
      </c>
      <c r="R523" s="4">
        <f t="shared" si="26"/>
        <v>1.3995127231027864</v>
      </c>
      <c r="S523" s="2">
        <f t="shared" si="27"/>
        <v>0.3995127231027864</v>
      </c>
    </row>
    <row r="524" spans="12:19" x14ac:dyDescent="0.25">
      <c r="L524" s="11">
        <v>510</v>
      </c>
      <c r="M524" s="4">
        <v>0.8937416129294824</v>
      </c>
      <c r="N524" s="4">
        <v>1.0809875737488546</v>
      </c>
      <c r="O524" s="4">
        <v>0.97927179728440084</v>
      </c>
      <c r="P524" s="4">
        <v>0.97399818664012094</v>
      </c>
      <c r="Q524" s="4">
        <v>1.0617567778952077</v>
      </c>
      <c r="R524" s="4">
        <f t="shared" si="26"/>
        <v>0.99372582379383856</v>
      </c>
      <c r="S524" s="2">
        <f t="shared" si="27"/>
        <v>-6.2741762061614414E-3</v>
      </c>
    </row>
    <row r="525" spans="12:19" x14ac:dyDescent="0.25">
      <c r="L525" s="11">
        <v>511</v>
      </c>
      <c r="M525" s="4">
        <v>1.6505538186246642</v>
      </c>
      <c r="N525" s="4">
        <v>1.2556744000407516</v>
      </c>
      <c r="O525" s="4">
        <v>1.3272459181576595</v>
      </c>
      <c r="P525" s="4">
        <v>1.4775358913003684</v>
      </c>
      <c r="Q525" s="4">
        <v>1.2060547416321898</v>
      </c>
      <c r="R525" s="4">
        <f t="shared" si="26"/>
        <v>1.3870411516254166</v>
      </c>
      <c r="S525" s="2">
        <f t="shared" si="27"/>
        <v>0.38704115162541664</v>
      </c>
    </row>
    <row r="526" spans="12:19" x14ac:dyDescent="0.25">
      <c r="L526" s="11">
        <v>512</v>
      </c>
      <c r="M526" s="4">
        <v>0.89706124640147444</v>
      </c>
      <c r="N526" s="4">
        <v>1.037876082870405</v>
      </c>
      <c r="O526" s="4">
        <v>1.1163346771586173</v>
      </c>
      <c r="P526" s="4">
        <v>0.96664793760103673</v>
      </c>
      <c r="Q526" s="4">
        <v>1.0418310073971762</v>
      </c>
      <c r="R526" s="4">
        <f t="shared" si="26"/>
        <v>1.0149152356599844</v>
      </c>
      <c r="S526" s="2">
        <f t="shared" si="27"/>
        <v>1.4915235659984427E-2</v>
      </c>
    </row>
    <row r="527" spans="12:19" x14ac:dyDescent="0.25">
      <c r="L527" s="11">
        <v>513</v>
      </c>
      <c r="M527" s="4">
        <v>1.7814002892634777</v>
      </c>
      <c r="N527" s="4">
        <v>1.4554245758886915</v>
      </c>
      <c r="O527" s="4">
        <v>1.305268787413093</v>
      </c>
      <c r="P527" s="4">
        <v>1.5716825960384249</v>
      </c>
      <c r="Q527" s="4">
        <v>1.2807016394752253</v>
      </c>
      <c r="R527" s="4">
        <f t="shared" ref="R527:R590" si="28">SUMPRODUCT(M527:Q527,$M$8:$Q$8)</f>
        <v>1.4737518793304492</v>
      </c>
      <c r="S527" s="2">
        <f t="shared" si="27"/>
        <v>0.47375187933044915</v>
      </c>
    </row>
    <row r="528" spans="12:19" x14ac:dyDescent="0.25">
      <c r="L528" s="11">
        <v>514</v>
      </c>
      <c r="M528" s="4">
        <v>2.0037169092660729</v>
      </c>
      <c r="N528" s="4">
        <v>1.4427153115461413</v>
      </c>
      <c r="O528" s="4">
        <v>1.4581219421470477</v>
      </c>
      <c r="P528" s="4">
        <v>1.6330018645515623</v>
      </c>
      <c r="Q528" s="4">
        <v>1.2865877839331223</v>
      </c>
      <c r="R528" s="4">
        <f t="shared" si="28"/>
        <v>1.5661171021372728</v>
      </c>
      <c r="S528" s="2">
        <f t="shared" ref="S528:S591" si="29">R528-1</f>
        <v>0.56611710213727284</v>
      </c>
    </row>
    <row r="529" spans="12:19" x14ac:dyDescent="0.25">
      <c r="L529" s="11">
        <v>515</v>
      </c>
      <c r="M529" s="4">
        <v>1.0077411671535403</v>
      </c>
      <c r="N529" s="4">
        <v>1.0500222889136648</v>
      </c>
      <c r="O529" s="4">
        <v>1.1884246283461322</v>
      </c>
      <c r="P529" s="4">
        <v>1.1397513619717756</v>
      </c>
      <c r="Q529" s="4">
        <v>1.0798304354040067</v>
      </c>
      <c r="R529" s="4">
        <f t="shared" si="28"/>
        <v>1.0992287076526965</v>
      </c>
      <c r="S529" s="2">
        <f t="shared" si="29"/>
        <v>9.9228707652696535E-2</v>
      </c>
    </row>
    <row r="530" spans="12:19" x14ac:dyDescent="0.25">
      <c r="L530" s="11">
        <v>516</v>
      </c>
      <c r="M530" s="4">
        <v>0.47008686671582456</v>
      </c>
      <c r="N530" s="4">
        <v>0.77114449544165464</v>
      </c>
      <c r="O530" s="4">
        <v>0.80888511310095546</v>
      </c>
      <c r="P530" s="4">
        <v>0.58139498582764648</v>
      </c>
      <c r="Q530" s="4">
        <v>0.81826294240952946</v>
      </c>
      <c r="R530" s="4">
        <f t="shared" si="28"/>
        <v>0.69067993980751297</v>
      </c>
      <c r="S530" s="2">
        <f t="shared" si="29"/>
        <v>-0.30932006019248703</v>
      </c>
    </row>
    <row r="531" spans="12:19" x14ac:dyDescent="0.25">
      <c r="L531" s="11">
        <v>517</v>
      </c>
      <c r="M531" s="4">
        <v>1.4073952079021812</v>
      </c>
      <c r="N531" s="4">
        <v>1.210677280018708</v>
      </c>
      <c r="O531" s="4">
        <v>1.3042844970457668</v>
      </c>
      <c r="P531" s="4">
        <v>1.3214836569203217</v>
      </c>
      <c r="Q531" s="4">
        <v>1.1738640877850444</v>
      </c>
      <c r="R531" s="4">
        <f t="shared" si="28"/>
        <v>1.2877155718676105</v>
      </c>
      <c r="S531" s="2">
        <f t="shared" si="29"/>
        <v>0.28771557186761054</v>
      </c>
    </row>
    <row r="532" spans="12:19" x14ac:dyDescent="0.25">
      <c r="L532" s="11">
        <v>518</v>
      </c>
      <c r="M532" s="4">
        <v>1.102028575861921</v>
      </c>
      <c r="N532" s="4">
        <v>1.145353119071064</v>
      </c>
      <c r="O532" s="4">
        <v>1.2611655222109026</v>
      </c>
      <c r="P532" s="4">
        <v>1.1158754553073136</v>
      </c>
      <c r="Q532" s="4">
        <v>1.0566451613784338</v>
      </c>
      <c r="R532" s="4">
        <f t="shared" si="28"/>
        <v>1.1411564522614543</v>
      </c>
      <c r="S532" s="2">
        <f t="shared" si="29"/>
        <v>0.14115645226145435</v>
      </c>
    </row>
    <row r="533" spans="12:19" x14ac:dyDescent="0.25">
      <c r="L533" s="11">
        <v>519</v>
      </c>
      <c r="M533" s="4">
        <v>0.59628973449026768</v>
      </c>
      <c r="N533" s="4">
        <v>0.88204947878785489</v>
      </c>
      <c r="O533" s="4">
        <v>0.99320724006229522</v>
      </c>
      <c r="P533" s="4">
        <v>0.74145646393068054</v>
      </c>
      <c r="Q533" s="4">
        <v>0.87632934074195723</v>
      </c>
      <c r="R533" s="4">
        <f t="shared" si="28"/>
        <v>0.82206286629402681</v>
      </c>
      <c r="S533" s="2">
        <f t="shared" si="29"/>
        <v>-0.17793713370597319</v>
      </c>
    </row>
    <row r="534" spans="12:19" x14ac:dyDescent="0.25">
      <c r="L534" s="11">
        <v>520</v>
      </c>
      <c r="M534" s="4">
        <v>3.0007729534235912</v>
      </c>
      <c r="N534" s="4">
        <v>1.670353783765008</v>
      </c>
      <c r="O534" s="4">
        <v>1.543839767665605</v>
      </c>
      <c r="P534" s="4">
        <v>2.3930401154056047</v>
      </c>
      <c r="Q534" s="4">
        <v>1.5974787634876337</v>
      </c>
      <c r="R534" s="4">
        <f t="shared" si="28"/>
        <v>2.0380639818894437</v>
      </c>
      <c r="S534" s="2">
        <f t="shared" si="29"/>
        <v>1.0380639818894437</v>
      </c>
    </row>
    <row r="535" spans="12:19" x14ac:dyDescent="0.25">
      <c r="L535" s="11">
        <v>521</v>
      </c>
      <c r="M535" s="4">
        <v>0.99719139640845644</v>
      </c>
      <c r="N535" s="4">
        <v>0.96325197574281751</v>
      </c>
      <c r="O535" s="4">
        <v>1.1263117696104283</v>
      </c>
      <c r="P535" s="4">
        <v>1.0371386502728088</v>
      </c>
      <c r="Q535" s="4">
        <v>1.0287842519429162</v>
      </c>
      <c r="R535" s="4">
        <f t="shared" si="28"/>
        <v>1.0371287628601269</v>
      </c>
      <c r="S535" s="2">
        <f t="shared" si="29"/>
        <v>3.7128762860126896E-2</v>
      </c>
    </row>
    <row r="536" spans="12:19" x14ac:dyDescent="0.25">
      <c r="L536" s="11">
        <v>522</v>
      </c>
      <c r="M536" s="4">
        <v>1.5698155293820173</v>
      </c>
      <c r="N536" s="4">
        <v>1.1492223908125114</v>
      </c>
      <c r="O536" s="4">
        <v>1.202625783608718</v>
      </c>
      <c r="P536" s="4">
        <v>1.3200897808644445</v>
      </c>
      <c r="Q536" s="4">
        <v>1.1611875498357589</v>
      </c>
      <c r="R536" s="4">
        <f t="shared" si="28"/>
        <v>1.2827907946068333</v>
      </c>
      <c r="S536" s="2">
        <f t="shared" si="29"/>
        <v>0.28279079460683332</v>
      </c>
    </row>
    <row r="537" spans="12:19" x14ac:dyDescent="0.25">
      <c r="L537" s="11">
        <v>523</v>
      </c>
      <c r="M537" s="4">
        <v>1.5450519085802485</v>
      </c>
      <c r="N537" s="4">
        <v>1.2497160668674621</v>
      </c>
      <c r="O537" s="4">
        <v>1.1319955155429737</v>
      </c>
      <c r="P537" s="4">
        <v>1.3381527844720491</v>
      </c>
      <c r="Q537" s="4">
        <v>1.2165141651867784</v>
      </c>
      <c r="R537" s="4">
        <f t="shared" si="28"/>
        <v>1.2916402296924954</v>
      </c>
      <c r="S537" s="2">
        <f t="shared" si="29"/>
        <v>0.29164022969249537</v>
      </c>
    </row>
    <row r="538" spans="12:19" x14ac:dyDescent="0.25">
      <c r="L538" s="11">
        <v>524</v>
      </c>
      <c r="M538" s="4">
        <v>1.2566845979911188</v>
      </c>
      <c r="N538" s="4">
        <v>1.2260771311022369</v>
      </c>
      <c r="O538" s="4">
        <v>1.0952239308603735</v>
      </c>
      <c r="P538" s="4">
        <v>1.2091905206821958</v>
      </c>
      <c r="Q538" s="4">
        <v>1.1250121241771345</v>
      </c>
      <c r="R538" s="4">
        <f t="shared" si="28"/>
        <v>1.177525676247434</v>
      </c>
      <c r="S538" s="2">
        <f t="shared" si="29"/>
        <v>0.17752567624743398</v>
      </c>
    </row>
    <row r="539" spans="12:19" x14ac:dyDescent="0.25">
      <c r="L539" s="11">
        <v>525</v>
      </c>
      <c r="M539" s="4">
        <v>1.0753271094493018</v>
      </c>
      <c r="N539" s="4">
        <v>1.28951339941617</v>
      </c>
      <c r="O539" s="4">
        <v>1.1348342537861336</v>
      </c>
      <c r="P539" s="4">
        <v>1.1121108177946406</v>
      </c>
      <c r="Q539" s="4">
        <v>1.1254045179676473</v>
      </c>
      <c r="R539" s="4">
        <f t="shared" si="28"/>
        <v>1.1413902808512606</v>
      </c>
      <c r="S539" s="2">
        <f t="shared" si="29"/>
        <v>0.1413902808512606</v>
      </c>
    </row>
    <row r="540" spans="12:19" x14ac:dyDescent="0.25">
      <c r="L540" s="11">
        <v>526</v>
      </c>
      <c r="M540" s="4">
        <v>1.1491714346340001</v>
      </c>
      <c r="N540" s="4">
        <v>1.1149366612905807</v>
      </c>
      <c r="O540" s="4">
        <v>1.2391033534626927</v>
      </c>
      <c r="P540" s="4">
        <v>1.1869739193208642</v>
      </c>
      <c r="Q540" s="4">
        <v>1.1489135125549421</v>
      </c>
      <c r="R540" s="4">
        <f t="shared" si="28"/>
        <v>1.1730029574519036</v>
      </c>
      <c r="S540" s="2">
        <f t="shared" si="29"/>
        <v>0.17300295745190364</v>
      </c>
    </row>
    <row r="541" spans="12:19" x14ac:dyDescent="0.25">
      <c r="L541" s="11">
        <v>527</v>
      </c>
      <c r="M541" s="4">
        <v>0.93685841153983596</v>
      </c>
      <c r="N541" s="4">
        <v>0.9455776440256719</v>
      </c>
      <c r="O541" s="4">
        <v>1.0612772119077067</v>
      </c>
      <c r="P541" s="4">
        <v>0.9937038826669411</v>
      </c>
      <c r="Q541" s="4">
        <v>1.0136105284475456</v>
      </c>
      <c r="R541" s="4">
        <f t="shared" si="28"/>
        <v>0.99483072077105617</v>
      </c>
      <c r="S541" s="2">
        <f t="shared" si="29"/>
        <v>-5.169279228943835E-3</v>
      </c>
    </row>
    <row r="542" spans="12:19" x14ac:dyDescent="0.25">
      <c r="L542" s="11">
        <v>528</v>
      </c>
      <c r="M542" s="4">
        <v>0.9085980550962458</v>
      </c>
      <c r="N542" s="4">
        <v>1.1212639612644606</v>
      </c>
      <c r="O542" s="4">
        <v>1.0511498434762803</v>
      </c>
      <c r="P542" s="4">
        <v>1.0789441792773149</v>
      </c>
      <c r="Q542" s="4">
        <v>1.1262309798069012</v>
      </c>
      <c r="R542" s="4">
        <f t="shared" si="28"/>
        <v>1.0546518866873691</v>
      </c>
      <c r="S542" s="2">
        <f t="shared" si="29"/>
        <v>5.4651886687369089E-2</v>
      </c>
    </row>
    <row r="543" spans="12:19" x14ac:dyDescent="0.25">
      <c r="L543" s="11">
        <v>529</v>
      </c>
      <c r="M543" s="4">
        <v>1.380430710159563</v>
      </c>
      <c r="N543" s="4">
        <v>1.3938138507493325</v>
      </c>
      <c r="O543" s="4">
        <v>1.3031834816609964</v>
      </c>
      <c r="P543" s="4">
        <v>1.369036198159455</v>
      </c>
      <c r="Q543" s="4">
        <v>1.175465564741049</v>
      </c>
      <c r="R543" s="4">
        <f t="shared" si="28"/>
        <v>1.3216921212622079</v>
      </c>
      <c r="S543" s="2">
        <f t="shared" si="29"/>
        <v>0.32169212126220792</v>
      </c>
    </row>
    <row r="544" spans="12:19" x14ac:dyDescent="0.25">
      <c r="L544" s="11">
        <v>530</v>
      </c>
      <c r="M544" s="4">
        <v>1.2324986159602669</v>
      </c>
      <c r="N544" s="4">
        <v>1.1122300643630023</v>
      </c>
      <c r="O544" s="4">
        <v>1.0752842406775831</v>
      </c>
      <c r="P544" s="4">
        <v>1.1599499404156253</v>
      </c>
      <c r="Q544" s="4">
        <v>1.1058203393913091</v>
      </c>
      <c r="R544" s="4">
        <f t="shared" si="28"/>
        <v>1.1357472056688296</v>
      </c>
      <c r="S544" s="2">
        <f t="shared" si="29"/>
        <v>0.13574720566882958</v>
      </c>
    </row>
    <row r="545" spans="12:19" x14ac:dyDescent="0.25">
      <c r="L545" s="11">
        <v>531</v>
      </c>
      <c r="M545" s="4">
        <v>2.4114415959463491</v>
      </c>
      <c r="N545" s="4">
        <v>1.3831743891566064</v>
      </c>
      <c r="O545" s="4">
        <v>1.3819852758089493</v>
      </c>
      <c r="P545" s="4">
        <v>1.7821200726777722</v>
      </c>
      <c r="Q545" s="4">
        <v>1.3979863392852891</v>
      </c>
      <c r="R545" s="4">
        <f t="shared" si="28"/>
        <v>1.6714238619102029</v>
      </c>
      <c r="S545" s="2">
        <f t="shared" si="29"/>
        <v>0.67142386191020287</v>
      </c>
    </row>
    <row r="546" spans="12:19" x14ac:dyDescent="0.25">
      <c r="L546" s="11">
        <v>532</v>
      </c>
      <c r="M546" s="4">
        <v>1.1552234624509066</v>
      </c>
      <c r="N546" s="4">
        <v>1.173188049559637</v>
      </c>
      <c r="O546" s="4">
        <v>1.2264346536823183</v>
      </c>
      <c r="P546" s="4">
        <v>1.1030490623347655</v>
      </c>
      <c r="Q546" s="4">
        <v>1.0520729791844365</v>
      </c>
      <c r="R546" s="4">
        <f t="shared" si="28"/>
        <v>1.1442655590468005</v>
      </c>
      <c r="S546" s="2">
        <f t="shared" si="29"/>
        <v>0.1442655590468005</v>
      </c>
    </row>
    <row r="547" spans="12:19" x14ac:dyDescent="0.25">
      <c r="L547" s="11">
        <v>533</v>
      </c>
      <c r="M547" s="4">
        <v>2.7276973853053184</v>
      </c>
      <c r="N547" s="4">
        <v>1.5561530101719709</v>
      </c>
      <c r="O547" s="4">
        <v>1.4602300970808819</v>
      </c>
      <c r="P547" s="4">
        <v>2.1513632266006009</v>
      </c>
      <c r="Q547" s="4">
        <v>1.5456467026138512</v>
      </c>
      <c r="R547" s="4">
        <f t="shared" si="28"/>
        <v>1.8856278944507805</v>
      </c>
      <c r="S547" s="2">
        <f t="shared" si="29"/>
        <v>0.8856278944507805</v>
      </c>
    </row>
    <row r="548" spans="12:19" x14ac:dyDescent="0.25">
      <c r="L548" s="11">
        <v>534</v>
      </c>
      <c r="M548" s="4">
        <v>1.8131354358165082</v>
      </c>
      <c r="N548" s="4">
        <v>1.1328734217978236</v>
      </c>
      <c r="O548" s="4">
        <v>1.2860713989459092</v>
      </c>
      <c r="P548" s="4">
        <v>1.4651345618087619</v>
      </c>
      <c r="Q548" s="4">
        <v>1.2651470368408742</v>
      </c>
      <c r="R548" s="4">
        <f t="shared" si="28"/>
        <v>1.3985298776192854</v>
      </c>
      <c r="S548" s="2">
        <f t="shared" si="29"/>
        <v>0.39852987761928538</v>
      </c>
    </row>
    <row r="549" spans="12:19" x14ac:dyDescent="0.25">
      <c r="L549" s="11">
        <v>535</v>
      </c>
      <c r="M549" s="4">
        <v>0.92027735468981142</v>
      </c>
      <c r="N549" s="4">
        <v>0.80086759598298496</v>
      </c>
      <c r="O549" s="4">
        <v>1.1370595622980131</v>
      </c>
      <c r="P549" s="4">
        <v>0.99424183901071406</v>
      </c>
      <c r="Q549" s="4">
        <v>1.0042202738094277</v>
      </c>
      <c r="R549" s="4">
        <f t="shared" si="28"/>
        <v>0.98475619575801199</v>
      </c>
      <c r="S549" s="2">
        <f t="shared" si="29"/>
        <v>-1.5243804241988013E-2</v>
      </c>
    </row>
    <row r="550" spans="12:19" x14ac:dyDescent="0.25">
      <c r="L550" s="11">
        <v>536</v>
      </c>
      <c r="M550" s="4">
        <v>2.6961211033991281</v>
      </c>
      <c r="N550" s="4">
        <v>1.5905186435762204</v>
      </c>
      <c r="O550" s="4">
        <v>1.4872390303659138</v>
      </c>
      <c r="P550" s="4">
        <v>1.9503025354280807</v>
      </c>
      <c r="Q550" s="4">
        <v>1.4777874044256165</v>
      </c>
      <c r="R550" s="4">
        <f t="shared" si="28"/>
        <v>1.8365728428390078</v>
      </c>
      <c r="S550" s="2">
        <f t="shared" si="29"/>
        <v>0.83657284283900779</v>
      </c>
    </row>
    <row r="551" spans="12:19" x14ac:dyDescent="0.25">
      <c r="L551" s="11">
        <v>537</v>
      </c>
      <c r="M551" s="4">
        <v>1.0953103166460412</v>
      </c>
      <c r="N551" s="4">
        <v>1.1707147381545626</v>
      </c>
      <c r="O551" s="4">
        <v>1.1293271877535804</v>
      </c>
      <c r="P551" s="4">
        <v>1.0654333728218035</v>
      </c>
      <c r="Q551" s="4">
        <v>1.0737914713658681</v>
      </c>
      <c r="R551" s="4">
        <f t="shared" si="28"/>
        <v>1.1052056147009039</v>
      </c>
      <c r="S551" s="2">
        <f t="shared" si="29"/>
        <v>0.10520561470090395</v>
      </c>
    </row>
    <row r="552" spans="12:19" x14ac:dyDescent="0.25">
      <c r="L552" s="11">
        <v>538</v>
      </c>
      <c r="M552" s="4">
        <v>0.474319464179563</v>
      </c>
      <c r="N552" s="4">
        <v>0.69654277533760167</v>
      </c>
      <c r="O552" s="4">
        <v>0.79321420435736034</v>
      </c>
      <c r="P552" s="4">
        <v>0.58131248670733993</v>
      </c>
      <c r="Q552" s="4">
        <v>0.80253636188391098</v>
      </c>
      <c r="R552" s="4">
        <f t="shared" si="28"/>
        <v>0.67268523820376847</v>
      </c>
      <c r="S552" s="2">
        <f t="shared" si="29"/>
        <v>-0.32731476179623153</v>
      </c>
    </row>
    <row r="553" spans="12:19" x14ac:dyDescent="0.25">
      <c r="L553" s="11">
        <v>539</v>
      </c>
      <c r="M553" s="4">
        <v>1.0479395517451899</v>
      </c>
      <c r="N553" s="4">
        <v>1.0053943154935652</v>
      </c>
      <c r="O553" s="4">
        <v>1.3308951885491656</v>
      </c>
      <c r="P553" s="4">
        <v>1.0920735769462282</v>
      </c>
      <c r="Q553" s="4">
        <v>1.0420684562794145</v>
      </c>
      <c r="R553" s="4">
        <f t="shared" si="28"/>
        <v>1.1169384892087866</v>
      </c>
      <c r="S553" s="2">
        <f t="shared" si="29"/>
        <v>0.11693848920878658</v>
      </c>
    </row>
    <row r="554" spans="12:19" x14ac:dyDescent="0.25">
      <c r="L554" s="11">
        <v>540</v>
      </c>
      <c r="M554" s="4">
        <v>1.0807642758264966</v>
      </c>
      <c r="N554" s="4">
        <v>1.1047527611957495</v>
      </c>
      <c r="O554" s="4">
        <v>0.97461190569335787</v>
      </c>
      <c r="P554" s="4">
        <v>1.0555923653626915</v>
      </c>
      <c r="Q554" s="4">
        <v>1.0645673439819776</v>
      </c>
      <c r="R554" s="4">
        <f t="shared" si="28"/>
        <v>1.0507960946398009</v>
      </c>
      <c r="S554" s="2">
        <f t="shared" si="29"/>
        <v>5.0796094639800948E-2</v>
      </c>
    </row>
    <row r="555" spans="12:19" x14ac:dyDescent="0.25">
      <c r="L555" s="11">
        <v>541</v>
      </c>
      <c r="M555" s="4">
        <v>2.0660605703702242</v>
      </c>
      <c r="N555" s="4">
        <v>1.2933190536547794</v>
      </c>
      <c r="O555" s="4">
        <v>1.4924897133965678</v>
      </c>
      <c r="P555" s="4">
        <v>1.6426708396127643</v>
      </c>
      <c r="Q555" s="4">
        <v>1.3324589994220772</v>
      </c>
      <c r="R555" s="4">
        <f t="shared" si="28"/>
        <v>1.5736262996115051</v>
      </c>
      <c r="S555" s="2">
        <f t="shared" si="29"/>
        <v>0.57362629961150513</v>
      </c>
    </row>
    <row r="556" spans="12:19" x14ac:dyDescent="0.25">
      <c r="L556" s="11">
        <v>542</v>
      </c>
      <c r="M556" s="4">
        <v>1.0809037163999358</v>
      </c>
      <c r="N556" s="4">
        <v>1.227102768125969</v>
      </c>
      <c r="O556" s="4">
        <v>1.2623001584125224</v>
      </c>
      <c r="P556" s="4">
        <v>1.138336954511816</v>
      </c>
      <c r="Q556" s="4">
        <v>1.0849524547552569</v>
      </c>
      <c r="R556" s="4">
        <f t="shared" si="28"/>
        <v>1.1605586292896166</v>
      </c>
      <c r="S556" s="2">
        <f t="shared" si="29"/>
        <v>0.16055862928961662</v>
      </c>
    </row>
    <row r="557" spans="12:19" x14ac:dyDescent="0.25">
      <c r="L557" s="11">
        <v>543</v>
      </c>
      <c r="M557" s="4">
        <v>2.2813542172292243</v>
      </c>
      <c r="N557" s="4">
        <v>1.5863765913041337</v>
      </c>
      <c r="O557" s="4">
        <v>1.3015056128281559</v>
      </c>
      <c r="P557" s="4">
        <v>1.7445504707936861</v>
      </c>
      <c r="Q557" s="4">
        <v>1.3574585113100976</v>
      </c>
      <c r="R557" s="4">
        <f t="shared" si="28"/>
        <v>1.643391381539671</v>
      </c>
      <c r="S557" s="2">
        <f t="shared" si="29"/>
        <v>0.64339138153967101</v>
      </c>
    </row>
    <row r="558" spans="12:19" x14ac:dyDescent="0.25">
      <c r="L558" s="11">
        <v>544</v>
      </c>
      <c r="M558" s="4">
        <v>1.4640082513197117</v>
      </c>
      <c r="N558" s="4">
        <v>1.0697778278411767</v>
      </c>
      <c r="O558" s="4">
        <v>1.4243599209531144</v>
      </c>
      <c r="P558" s="4">
        <v>1.317893066674956</v>
      </c>
      <c r="Q558" s="4">
        <v>1.1721178519053608</v>
      </c>
      <c r="R558" s="4">
        <f t="shared" si="28"/>
        <v>1.3039752513415024</v>
      </c>
      <c r="S558" s="2">
        <f t="shared" si="29"/>
        <v>0.30397525134150238</v>
      </c>
    </row>
    <row r="559" spans="12:19" x14ac:dyDescent="0.25">
      <c r="L559" s="11">
        <v>545</v>
      </c>
      <c r="M559" s="4">
        <v>1.3324289380607468</v>
      </c>
      <c r="N559" s="4">
        <v>1.0621648715709162</v>
      </c>
      <c r="O559" s="4">
        <v>1.1413382903691278</v>
      </c>
      <c r="P559" s="4">
        <v>1.2547967780697764</v>
      </c>
      <c r="Q559" s="4">
        <v>1.1079853267510831</v>
      </c>
      <c r="R559" s="4">
        <f t="shared" si="28"/>
        <v>1.1833198176311841</v>
      </c>
      <c r="S559" s="2">
        <f t="shared" si="29"/>
        <v>0.1833198176311841</v>
      </c>
    </row>
    <row r="560" spans="12:19" x14ac:dyDescent="0.25">
      <c r="L560" s="11">
        <v>546</v>
      </c>
      <c r="M560" s="4">
        <v>2.5707414547290091</v>
      </c>
      <c r="N560" s="4">
        <v>1.4846733285554046</v>
      </c>
      <c r="O560" s="4">
        <v>1.5488855659084626</v>
      </c>
      <c r="P560" s="4">
        <v>2.0168217198938532</v>
      </c>
      <c r="Q560" s="4">
        <v>1.3957401883259029</v>
      </c>
      <c r="R560" s="4">
        <f t="shared" si="28"/>
        <v>1.8073157891739657</v>
      </c>
      <c r="S560" s="2">
        <f t="shared" si="29"/>
        <v>0.80731578917396574</v>
      </c>
    </row>
    <row r="561" spans="12:19" x14ac:dyDescent="0.25">
      <c r="L561" s="11">
        <v>547</v>
      </c>
      <c r="M561" s="4">
        <v>0.81824618895779733</v>
      </c>
      <c r="N561" s="4">
        <v>1.0030419675857714</v>
      </c>
      <c r="O561" s="4">
        <v>0.98995538356463109</v>
      </c>
      <c r="P561" s="4">
        <v>0.92960198092656321</v>
      </c>
      <c r="Q561" s="4">
        <v>0.98625706151688775</v>
      </c>
      <c r="R561" s="4">
        <f t="shared" si="28"/>
        <v>0.94493230957859842</v>
      </c>
      <c r="S561" s="2">
        <f t="shared" si="29"/>
        <v>-5.5067690421401583E-2</v>
      </c>
    </row>
    <row r="562" spans="12:19" x14ac:dyDescent="0.25">
      <c r="L562" s="11">
        <v>548</v>
      </c>
      <c r="M562" s="4">
        <v>1.5261157568030892</v>
      </c>
      <c r="N562" s="4">
        <v>1.160725317450265</v>
      </c>
      <c r="O562" s="4">
        <v>1.4032355485171866</v>
      </c>
      <c r="P562" s="4">
        <v>1.3966400991685732</v>
      </c>
      <c r="Q562" s="4">
        <v>1.1905358412166478</v>
      </c>
      <c r="R562" s="4">
        <f t="shared" si="28"/>
        <v>1.3456686657044528</v>
      </c>
      <c r="S562" s="2">
        <f t="shared" si="29"/>
        <v>0.34566866570445276</v>
      </c>
    </row>
    <row r="563" spans="12:19" x14ac:dyDescent="0.25">
      <c r="L563" s="11">
        <v>549</v>
      </c>
      <c r="M563" s="4">
        <v>1.8885797567509324</v>
      </c>
      <c r="N563" s="4">
        <v>1.3886097185562853</v>
      </c>
      <c r="O563" s="4">
        <v>1.4100546564107082</v>
      </c>
      <c r="P563" s="4">
        <v>1.5846120403278008</v>
      </c>
      <c r="Q563" s="4">
        <v>1.284095304731151</v>
      </c>
      <c r="R563" s="4">
        <f t="shared" si="28"/>
        <v>1.5126574986742001</v>
      </c>
      <c r="S563" s="2">
        <f t="shared" si="29"/>
        <v>0.51265749867420007</v>
      </c>
    </row>
    <row r="564" spans="12:19" x14ac:dyDescent="0.25">
      <c r="L564" s="11">
        <v>550</v>
      </c>
      <c r="M564" s="4">
        <v>1.6059811954484846</v>
      </c>
      <c r="N564" s="4">
        <v>1.3442049254640298</v>
      </c>
      <c r="O564" s="4">
        <v>1.102062183658828</v>
      </c>
      <c r="P564" s="4">
        <v>1.3776996651532289</v>
      </c>
      <c r="Q564" s="4">
        <v>1.2033151625903198</v>
      </c>
      <c r="R564" s="4">
        <f t="shared" si="28"/>
        <v>1.3172812892069938</v>
      </c>
      <c r="S564" s="2">
        <f t="shared" si="29"/>
        <v>0.31728128920699383</v>
      </c>
    </row>
    <row r="565" spans="12:19" x14ac:dyDescent="0.25">
      <c r="L565" s="11">
        <v>551</v>
      </c>
      <c r="M565" s="4">
        <v>0.82389703212527765</v>
      </c>
      <c r="N565" s="4">
        <v>0.98555963309229655</v>
      </c>
      <c r="O565" s="4">
        <v>1.0838308578200753</v>
      </c>
      <c r="P565" s="4">
        <v>0.97776852012900894</v>
      </c>
      <c r="Q565" s="4">
        <v>0.98321666935728957</v>
      </c>
      <c r="R565" s="4">
        <f t="shared" si="28"/>
        <v>0.97511722107240117</v>
      </c>
      <c r="S565" s="2">
        <f t="shared" si="29"/>
        <v>-2.4882778927598825E-2</v>
      </c>
    </row>
    <row r="566" spans="12:19" x14ac:dyDescent="0.25">
      <c r="L566" s="11">
        <v>552</v>
      </c>
      <c r="M566" s="4">
        <v>1.3736766898798418</v>
      </c>
      <c r="N566" s="4">
        <v>1.0946587667794727</v>
      </c>
      <c r="O566" s="4">
        <v>1.3347464551317998</v>
      </c>
      <c r="P566" s="4">
        <v>1.2421494161857978</v>
      </c>
      <c r="Q566" s="4">
        <v>1.1730051000189201</v>
      </c>
      <c r="R566" s="4">
        <f t="shared" si="28"/>
        <v>1.2531483582312584</v>
      </c>
      <c r="S566" s="2">
        <f t="shared" si="29"/>
        <v>0.25314835823125836</v>
      </c>
    </row>
    <row r="567" spans="12:19" x14ac:dyDescent="0.25">
      <c r="L567" s="11">
        <v>553</v>
      </c>
      <c r="M567" s="4">
        <v>0.66964227947070798</v>
      </c>
      <c r="N567" s="4">
        <v>0.84796790884062079</v>
      </c>
      <c r="O567" s="4">
        <v>0.94652199886927346</v>
      </c>
      <c r="P567" s="4">
        <v>0.75081608978135517</v>
      </c>
      <c r="Q567" s="4">
        <v>0.91710087674342389</v>
      </c>
      <c r="R567" s="4">
        <f t="shared" si="28"/>
        <v>0.82977769859687822</v>
      </c>
      <c r="S567" s="2">
        <f t="shared" si="29"/>
        <v>-0.17022230140312178</v>
      </c>
    </row>
    <row r="568" spans="12:19" x14ac:dyDescent="0.25">
      <c r="L568" s="11">
        <v>554</v>
      </c>
      <c r="M568" s="4">
        <v>3.1441423539407705</v>
      </c>
      <c r="N568" s="4">
        <v>1.882764373912613</v>
      </c>
      <c r="O568" s="4">
        <v>1.4957238658853127</v>
      </c>
      <c r="P568" s="4">
        <v>2.1493232777738016</v>
      </c>
      <c r="Q568" s="4">
        <v>1.494846270627024</v>
      </c>
      <c r="R568" s="4">
        <f t="shared" si="28"/>
        <v>2.0185578283861507</v>
      </c>
      <c r="S568" s="2">
        <f t="shared" si="29"/>
        <v>1.0185578283861507</v>
      </c>
    </row>
    <row r="569" spans="12:19" x14ac:dyDescent="0.25">
      <c r="L569" s="11">
        <v>555</v>
      </c>
      <c r="M569" s="4">
        <v>1.5465300080227973</v>
      </c>
      <c r="N569" s="4">
        <v>1.2920185033484521</v>
      </c>
      <c r="O569" s="4">
        <v>1.273230316617977</v>
      </c>
      <c r="P569" s="4">
        <v>1.4414613928919011</v>
      </c>
      <c r="Q569" s="4">
        <v>1.1923000830280313</v>
      </c>
      <c r="R569" s="4">
        <f t="shared" si="28"/>
        <v>1.3492310127354037</v>
      </c>
      <c r="S569" s="2">
        <f t="shared" si="29"/>
        <v>0.34923101273540369</v>
      </c>
    </row>
    <row r="570" spans="12:19" x14ac:dyDescent="0.25">
      <c r="L570" s="11">
        <v>556</v>
      </c>
      <c r="M570" s="4">
        <v>1.3207784221477923</v>
      </c>
      <c r="N570" s="4">
        <v>1.2097723212603115</v>
      </c>
      <c r="O570" s="4">
        <v>1.3536332659056902</v>
      </c>
      <c r="P570" s="4">
        <v>1.2694045586617184</v>
      </c>
      <c r="Q570" s="4">
        <v>1.1351076576355932</v>
      </c>
      <c r="R570" s="4">
        <f t="shared" si="28"/>
        <v>1.2639587251575952</v>
      </c>
      <c r="S570" s="2">
        <f t="shared" si="29"/>
        <v>0.26395872515759522</v>
      </c>
    </row>
    <row r="571" spans="12:19" x14ac:dyDescent="0.25">
      <c r="L571" s="11">
        <v>557</v>
      </c>
      <c r="M571" s="4">
        <v>0.97691546276204089</v>
      </c>
      <c r="N571" s="4">
        <v>1.2438396181486886</v>
      </c>
      <c r="O571" s="4">
        <v>1.02769179485915</v>
      </c>
      <c r="P571" s="4">
        <v>1.0170955375844597</v>
      </c>
      <c r="Q571" s="4">
        <v>1.0583798225742791</v>
      </c>
      <c r="R571" s="4">
        <f t="shared" si="28"/>
        <v>1.0561869457452671</v>
      </c>
      <c r="S571" s="2">
        <f t="shared" si="29"/>
        <v>5.6186945745267058E-2</v>
      </c>
    </row>
    <row r="572" spans="12:19" x14ac:dyDescent="0.25">
      <c r="L572" s="11">
        <v>558</v>
      </c>
      <c r="M572" s="4">
        <v>1.101687962148443</v>
      </c>
      <c r="N572" s="4">
        <v>1.2501779523763561</v>
      </c>
      <c r="O572" s="4">
        <v>1.0658754565011097</v>
      </c>
      <c r="P572" s="4">
        <v>1.1733129553891339</v>
      </c>
      <c r="Q572" s="4">
        <v>1.1747157831839841</v>
      </c>
      <c r="R572" s="4">
        <f t="shared" si="28"/>
        <v>1.1460203234260282</v>
      </c>
      <c r="S572" s="2">
        <f t="shared" si="29"/>
        <v>0.14602032342602822</v>
      </c>
    </row>
    <row r="573" spans="12:19" x14ac:dyDescent="0.25">
      <c r="L573" s="11">
        <v>559</v>
      </c>
      <c r="M573" s="4">
        <v>6.008847987824427</v>
      </c>
      <c r="N573" s="4">
        <v>1.7671438893464371</v>
      </c>
      <c r="O573" s="4">
        <v>1.9858384700613714</v>
      </c>
      <c r="P573" s="4">
        <v>3.4616368996743976</v>
      </c>
      <c r="Q573" s="4">
        <v>1.9216869881706107</v>
      </c>
      <c r="R573" s="4">
        <f t="shared" si="28"/>
        <v>3.0381526467327031</v>
      </c>
      <c r="S573" s="2">
        <f t="shared" si="29"/>
        <v>2.0381526467327031</v>
      </c>
    </row>
    <row r="574" spans="12:19" x14ac:dyDescent="0.25">
      <c r="L574" s="11">
        <v>560</v>
      </c>
      <c r="M574" s="4">
        <v>1.2266094220588306</v>
      </c>
      <c r="N574" s="4">
        <v>1.2852511076821014</v>
      </c>
      <c r="O574" s="4">
        <v>1.2073575765995899</v>
      </c>
      <c r="P574" s="4">
        <v>1.2386087999896527</v>
      </c>
      <c r="Q574" s="4">
        <v>1.1088468819857471</v>
      </c>
      <c r="R574" s="4">
        <f t="shared" si="28"/>
        <v>1.2109085742079297</v>
      </c>
      <c r="S574" s="2">
        <f t="shared" si="29"/>
        <v>0.21090857420792974</v>
      </c>
    </row>
    <row r="575" spans="12:19" x14ac:dyDescent="0.25">
      <c r="L575" s="11">
        <v>561</v>
      </c>
      <c r="M575" s="4">
        <v>5.2203548753469118</v>
      </c>
      <c r="N575" s="4">
        <v>1.8383473872068026</v>
      </c>
      <c r="O575" s="4">
        <v>1.9683070725745531</v>
      </c>
      <c r="P575" s="4">
        <v>3.3107073418834441</v>
      </c>
      <c r="Q575" s="4">
        <v>1.8360462475300066</v>
      </c>
      <c r="R575" s="4">
        <f t="shared" si="28"/>
        <v>2.8416792249615925</v>
      </c>
      <c r="S575" s="2">
        <f t="shared" si="29"/>
        <v>1.8416792249615925</v>
      </c>
    </row>
    <row r="576" spans="12:19" x14ac:dyDescent="0.25">
      <c r="L576" s="11">
        <v>562</v>
      </c>
      <c r="M576" s="4">
        <v>1.570200130040347</v>
      </c>
      <c r="N576" s="4">
        <v>1.2112421339742534</v>
      </c>
      <c r="O576" s="4">
        <v>1.3694021650713759</v>
      </c>
      <c r="P576" s="4">
        <v>1.514770623507504</v>
      </c>
      <c r="Q576" s="4">
        <v>1.3063671463099022</v>
      </c>
      <c r="R576" s="4">
        <f t="shared" si="28"/>
        <v>1.401414565153325</v>
      </c>
      <c r="S576" s="2">
        <f t="shared" si="29"/>
        <v>0.40141456515332496</v>
      </c>
    </row>
    <row r="577" spans="12:19" x14ac:dyDescent="0.25">
      <c r="L577" s="11">
        <v>563</v>
      </c>
      <c r="M577" s="4">
        <v>1.5249210660754735</v>
      </c>
      <c r="N577" s="4">
        <v>1.2440115577058053</v>
      </c>
      <c r="O577" s="4">
        <v>1.2861886064152717</v>
      </c>
      <c r="P577" s="4">
        <v>1.3614434072970112</v>
      </c>
      <c r="Q577" s="4">
        <v>1.2027811971771074</v>
      </c>
      <c r="R577" s="4">
        <f t="shared" si="28"/>
        <v>1.3258582358365771</v>
      </c>
      <c r="S577" s="2">
        <f t="shared" si="29"/>
        <v>0.32585823583657714</v>
      </c>
    </row>
    <row r="578" spans="12:19" x14ac:dyDescent="0.25">
      <c r="L578" s="11">
        <v>564</v>
      </c>
      <c r="M578" s="4">
        <v>1.2788086386944912</v>
      </c>
      <c r="N578" s="4">
        <v>1.0625890352674654</v>
      </c>
      <c r="O578" s="4">
        <v>1.2875064773595524</v>
      </c>
      <c r="P578" s="4">
        <v>1.1744066515112535</v>
      </c>
      <c r="Q578" s="4">
        <v>1.1270742132571425</v>
      </c>
      <c r="R578" s="4">
        <f t="shared" si="28"/>
        <v>1.1949521447084663</v>
      </c>
      <c r="S578" s="2">
        <f t="shared" si="29"/>
        <v>0.19495214470846634</v>
      </c>
    </row>
    <row r="579" spans="12:19" x14ac:dyDescent="0.25">
      <c r="L579" s="11">
        <v>565</v>
      </c>
      <c r="M579" s="4">
        <v>1.9201197490154081</v>
      </c>
      <c r="N579" s="4">
        <v>1.3150438066207855</v>
      </c>
      <c r="O579" s="4">
        <v>1.2526552372873305</v>
      </c>
      <c r="P579" s="4">
        <v>1.6318216598182747</v>
      </c>
      <c r="Q579" s="4">
        <v>1.2727989759446432</v>
      </c>
      <c r="R579" s="4">
        <f t="shared" si="28"/>
        <v>1.4768787687574028</v>
      </c>
      <c r="S579" s="2">
        <f t="shared" si="29"/>
        <v>0.47687876875740276</v>
      </c>
    </row>
    <row r="580" spans="12:19" x14ac:dyDescent="0.25">
      <c r="L580" s="11">
        <v>566</v>
      </c>
      <c r="M580" s="4">
        <v>1.0990840294080568</v>
      </c>
      <c r="N580" s="4">
        <v>1.1193833573546728</v>
      </c>
      <c r="O580" s="4">
        <v>1.1168531151672103</v>
      </c>
      <c r="P580" s="4">
        <v>1.0921378334941001</v>
      </c>
      <c r="Q580" s="4">
        <v>1.0525649076951764</v>
      </c>
      <c r="R580" s="4">
        <f t="shared" si="28"/>
        <v>1.0960902666961709</v>
      </c>
      <c r="S580" s="2">
        <f t="shared" si="29"/>
        <v>9.6090266696170934E-2</v>
      </c>
    </row>
    <row r="581" spans="12:19" x14ac:dyDescent="0.25">
      <c r="L581" s="11">
        <v>567</v>
      </c>
      <c r="M581" s="4">
        <v>1.1382385861754487</v>
      </c>
      <c r="N581" s="4">
        <v>1.0423419397658698</v>
      </c>
      <c r="O581" s="4">
        <v>1.1327673500812061</v>
      </c>
      <c r="P581" s="4">
        <v>1.1107773245683139</v>
      </c>
      <c r="Q581" s="4">
        <v>1.1004942809341023</v>
      </c>
      <c r="R581" s="4">
        <f t="shared" si="28"/>
        <v>1.108473934069605</v>
      </c>
      <c r="S581" s="2">
        <f t="shared" si="29"/>
        <v>0.10847393406960504</v>
      </c>
    </row>
    <row r="582" spans="12:19" x14ac:dyDescent="0.25">
      <c r="L582" s="11">
        <v>568</v>
      </c>
      <c r="M582" s="4">
        <v>0.86616326063809501</v>
      </c>
      <c r="N582" s="4">
        <v>1.0563445557358881</v>
      </c>
      <c r="O582" s="4">
        <v>0.91364270681369797</v>
      </c>
      <c r="P582" s="4">
        <v>0.90157950246928498</v>
      </c>
      <c r="Q582" s="4">
        <v>0.98804974346561592</v>
      </c>
      <c r="R582" s="4">
        <f t="shared" si="28"/>
        <v>0.93921931191903441</v>
      </c>
      <c r="S582" s="2">
        <f t="shared" si="29"/>
        <v>-6.0780688080965595E-2</v>
      </c>
    </row>
    <row r="583" spans="12:19" x14ac:dyDescent="0.25">
      <c r="L583" s="11">
        <v>569</v>
      </c>
      <c r="M583" s="4">
        <v>0.78125034777016356</v>
      </c>
      <c r="N583" s="4">
        <v>1.0186941456143996</v>
      </c>
      <c r="O583" s="4">
        <v>0.94729231697838401</v>
      </c>
      <c r="P583" s="4">
        <v>0.84947706507828269</v>
      </c>
      <c r="Q583" s="4">
        <v>0.93476315754743466</v>
      </c>
      <c r="R583" s="4">
        <f t="shared" si="28"/>
        <v>0.90328942046175364</v>
      </c>
      <c r="S583" s="2">
        <f t="shared" si="29"/>
        <v>-9.6710579538246355E-2</v>
      </c>
    </row>
    <row r="584" spans="12:19" x14ac:dyDescent="0.25">
      <c r="L584" s="11">
        <v>570</v>
      </c>
      <c r="M584" s="4">
        <v>1.614284803983713</v>
      </c>
      <c r="N584" s="4">
        <v>1.3777487515447235</v>
      </c>
      <c r="O584" s="4">
        <v>1.3043054912621965</v>
      </c>
      <c r="P584" s="4">
        <v>1.4817376760131618</v>
      </c>
      <c r="Q584" s="4">
        <v>1.211125760893986</v>
      </c>
      <c r="R584" s="4">
        <f t="shared" si="28"/>
        <v>1.3958458155616604</v>
      </c>
      <c r="S584" s="2">
        <f t="shared" si="29"/>
        <v>0.39584581556166043</v>
      </c>
    </row>
    <row r="585" spans="12:19" x14ac:dyDescent="0.25">
      <c r="L585" s="11">
        <v>571</v>
      </c>
      <c r="M585" s="4">
        <v>1.4003193314200921</v>
      </c>
      <c r="N585" s="4">
        <v>0.9608751373305866</v>
      </c>
      <c r="O585" s="4">
        <v>1.2809301302925991</v>
      </c>
      <c r="P585" s="4">
        <v>1.2552936043870004</v>
      </c>
      <c r="Q585" s="4">
        <v>1.1569562647290508</v>
      </c>
      <c r="R585" s="4">
        <f t="shared" si="28"/>
        <v>1.2235967350709998</v>
      </c>
      <c r="S585" s="2">
        <f t="shared" si="29"/>
        <v>0.22359673507099975</v>
      </c>
    </row>
    <row r="586" spans="12:19" x14ac:dyDescent="0.25">
      <c r="L586" s="11">
        <v>572</v>
      </c>
      <c r="M586" s="4">
        <v>2.2685057528252508</v>
      </c>
      <c r="N586" s="4">
        <v>1.3602596674109206</v>
      </c>
      <c r="O586" s="4">
        <v>1.3936686234326354</v>
      </c>
      <c r="P586" s="4">
        <v>1.7837357501419364</v>
      </c>
      <c r="Q586" s="4">
        <v>1.3775338742498904</v>
      </c>
      <c r="R586" s="4">
        <f t="shared" si="28"/>
        <v>1.6386449655326003</v>
      </c>
      <c r="S586" s="2">
        <f t="shared" si="29"/>
        <v>0.63864496553260031</v>
      </c>
    </row>
    <row r="587" spans="12:19" x14ac:dyDescent="0.25">
      <c r="L587" s="11">
        <v>573</v>
      </c>
      <c r="M587" s="4">
        <v>2.0190819147458643</v>
      </c>
      <c r="N587" s="4">
        <v>1.467236322145846</v>
      </c>
      <c r="O587" s="4">
        <v>1.4362924427485122</v>
      </c>
      <c r="P587" s="4">
        <v>1.7329592314456268</v>
      </c>
      <c r="Q587" s="4">
        <v>1.311247406959541</v>
      </c>
      <c r="R587" s="4">
        <f t="shared" si="28"/>
        <v>1.5933371195995751</v>
      </c>
      <c r="S587" s="2">
        <f t="shared" si="29"/>
        <v>0.59333711959957514</v>
      </c>
    </row>
    <row r="588" spans="12:19" x14ac:dyDescent="0.25">
      <c r="L588" s="11">
        <v>574</v>
      </c>
      <c r="M588" s="4">
        <v>1.3192012884892257</v>
      </c>
      <c r="N588" s="4">
        <v>1.103421090533699</v>
      </c>
      <c r="O588" s="4">
        <v>1.4853410429775329</v>
      </c>
      <c r="P588" s="4">
        <v>1.2500365830141533</v>
      </c>
      <c r="Q588" s="4">
        <v>1.1534616906210762</v>
      </c>
      <c r="R588" s="4">
        <f t="shared" si="28"/>
        <v>1.2777232469098387</v>
      </c>
      <c r="S588" s="2">
        <f t="shared" si="29"/>
        <v>0.27772324690983874</v>
      </c>
    </row>
    <row r="589" spans="12:19" x14ac:dyDescent="0.25">
      <c r="L589" s="11">
        <v>575</v>
      </c>
      <c r="M589" s="4">
        <v>1.3093854066462922</v>
      </c>
      <c r="N589" s="4">
        <v>1.1670331514236905</v>
      </c>
      <c r="O589" s="4">
        <v>1.0242814073590258</v>
      </c>
      <c r="P589" s="4">
        <v>1.2641062093049176</v>
      </c>
      <c r="Q589" s="4">
        <v>1.1603726457825245</v>
      </c>
      <c r="R589" s="4">
        <f t="shared" si="28"/>
        <v>1.1796948097266113</v>
      </c>
      <c r="S589" s="2">
        <f t="shared" si="29"/>
        <v>0.17969480972661134</v>
      </c>
    </row>
    <row r="590" spans="12:19" x14ac:dyDescent="0.25">
      <c r="L590" s="11">
        <v>576</v>
      </c>
      <c r="M590" s="4">
        <v>2.2271441645431973</v>
      </c>
      <c r="N590" s="4">
        <v>1.2136400829316034</v>
      </c>
      <c r="O590" s="4">
        <v>1.3489666391095074</v>
      </c>
      <c r="P590" s="4">
        <v>1.7908301221086336</v>
      </c>
      <c r="Q590" s="4">
        <v>1.3803828936004767</v>
      </c>
      <c r="R590" s="4">
        <f t="shared" si="28"/>
        <v>1.5982186488254284</v>
      </c>
      <c r="S590" s="2">
        <f t="shared" si="29"/>
        <v>0.59821864882542841</v>
      </c>
    </row>
    <row r="591" spans="12:19" x14ac:dyDescent="0.25">
      <c r="L591" s="11">
        <v>577</v>
      </c>
      <c r="M591" s="4">
        <v>1.1794705877470659</v>
      </c>
      <c r="N591" s="4">
        <v>1.0653916579105123</v>
      </c>
      <c r="O591" s="4">
        <v>1.1411407600257089</v>
      </c>
      <c r="P591" s="4">
        <v>1.1855107267057896</v>
      </c>
      <c r="Q591" s="4">
        <v>1.1224870267872402</v>
      </c>
      <c r="R591" s="4">
        <f t="shared" ref="R591:R654" si="30">SUMPRODUCT(M591:Q591,$M$8:$Q$8)</f>
        <v>1.1420757111784112</v>
      </c>
      <c r="S591" s="2">
        <f t="shared" si="29"/>
        <v>0.14207571117841122</v>
      </c>
    </row>
    <row r="592" spans="12:19" x14ac:dyDescent="0.25">
      <c r="L592" s="11">
        <v>578</v>
      </c>
      <c r="M592" s="4">
        <v>1.014078361853656</v>
      </c>
      <c r="N592" s="4">
        <v>1.167187977774927</v>
      </c>
      <c r="O592" s="4">
        <v>1.0922997993942003</v>
      </c>
      <c r="P592" s="4">
        <v>1.0491463433901917</v>
      </c>
      <c r="Q592" s="4">
        <v>1.1198768306531042</v>
      </c>
      <c r="R592" s="4">
        <f t="shared" si="30"/>
        <v>1.085338156544809</v>
      </c>
      <c r="S592" s="2">
        <f t="shared" ref="S592:S655" si="31">R592-1</f>
        <v>8.533815654480903E-2</v>
      </c>
    </row>
    <row r="593" spans="12:19" x14ac:dyDescent="0.25">
      <c r="L593" s="11">
        <v>579</v>
      </c>
      <c r="M593" s="4">
        <v>1.1584269243727257</v>
      </c>
      <c r="N593" s="4">
        <v>1.3336166588815273</v>
      </c>
      <c r="O593" s="4">
        <v>1.1467852193300188</v>
      </c>
      <c r="P593" s="4">
        <v>1.100202998543881</v>
      </c>
      <c r="Q593" s="4">
        <v>1.1093413695204433</v>
      </c>
      <c r="R593" s="4">
        <f t="shared" si="30"/>
        <v>1.1621634722383565</v>
      </c>
      <c r="S593" s="2">
        <f t="shared" si="31"/>
        <v>0.16216347223835648</v>
      </c>
    </row>
    <row r="594" spans="12:19" x14ac:dyDescent="0.25">
      <c r="L594" s="11">
        <v>580</v>
      </c>
      <c r="M594" s="4">
        <v>2.8437224427147494</v>
      </c>
      <c r="N594" s="4">
        <v>1.6285163292572467</v>
      </c>
      <c r="O594" s="4">
        <v>1.5685747388156439</v>
      </c>
      <c r="P594" s="4">
        <v>2.121413466089149</v>
      </c>
      <c r="Q594" s="4">
        <v>1.4630599996154974</v>
      </c>
      <c r="R594" s="4">
        <f t="shared" si="30"/>
        <v>1.9238478923909146</v>
      </c>
      <c r="S594" s="2">
        <f t="shared" si="31"/>
        <v>0.92384789239091458</v>
      </c>
    </row>
    <row r="595" spans="12:19" x14ac:dyDescent="0.25">
      <c r="L595" s="11">
        <v>581</v>
      </c>
      <c r="M595" s="4">
        <v>2.256169856416999</v>
      </c>
      <c r="N595" s="4">
        <v>1.1732733619372759</v>
      </c>
      <c r="O595" s="4">
        <v>1.4073120755177426</v>
      </c>
      <c r="P595" s="4">
        <v>1.7630750837427231</v>
      </c>
      <c r="Q595" s="4">
        <v>1.367137378741101</v>
      </c>
      <c r="R595" s="4">
        <f t="shared" si="30"/>
        <v>1.6031359515454295</v>
      </c>
      <c r="S595" s="2">
        <f t="shared" si="31"/>
        <v>0.60313595154542954</v>
      </c>
    </row>
    <row r="596" spans="12:19" x14ac:dyDescent="0.25">
      <c r="L596" s="11">
        <v>582</v>
      </c>
      <c r="M596" s="4">
        <v>0.87223098028591262</v>
      </c>
      <c r="N596" s="4">
        <v>1.0838356468144414</v>
      </c>
      <c r="O596" s="4">
        <v>1.1517181825090059</v>
      </c>
      <c r="P596" s="4">
        <v>1.0116363530282417</v>
      </c>
      <c r="Q596" s="4">
        <v>0.99764343441175907</v>
      </c>
      <c r="R596" s="4">
        <f t="shared" si="30"/>
        <v>1.0265549942144816</v>
      </c>
      <c r="S596" s="2">
        <f t="shared" si="31"/>
        <v>2.6554994214481598E-2</v>
      </c>
    </row>
    <row r="597" spans="12:19" x14ac:dyDescent="0.25">
      <c r="L597" s="11">
        <v>583</v>
      </c>
      <c r="M597" s="4">
        <v>0.95266711193614373</v>
      </c>
      <c r="N597" s="4">
        <v>1.0178309081371528</v>
      </c>
      <c r="O597" s="4">
        <v>1.0330765500322099</v>
      </c>
      <c r="P597" s="4">
        <v>1.0633501160123473</v>
      </c>
      <c r="Q597" s="4">
        <v>1.0531935165515034</v>
      </c>
      <c r="R597" s="4">
        <f t="shared" si="30"/>
        <v>1.0249257556953166</v>
      </c>
      <c r="S597" s="2">
        <f t="shared" si="31"/>
        <v>2.4925755695316631E-2</v>
      </c>
    </row>
    <row r="598" spans="12:19" x14ac:dyDescent="0.25">
      <c r="L598" s="11">
        <v>584</v>
      </c>
      <c r="M598" s="4">
        <v>0.77173680536995226</v>
      </c>
      <c r="N598" s="4">
        <v>1.0026451664847094</v>
      </c>
      <c r="O598" s="4">
        <v>1.0166307114268631</v>
      </c>
      <c r="P598" s="4">
        <v>0.85080331498835404</v>
      </c>
      <c r="Q598" s="4">
        <v>0.94744808266213043</v>
      </c>
      <c r="R598" s="4">
        <f t="shared" si="30"/>
        <v>0.91820957972580142</v>
      </c>
      <c r="S598" s="2">
        <f t="shared" si="31"/>
        <v>-8.1790420274198583E-2</v>
      </c>
    </row>
    <row r="599" spans="12:19" x14ac:dyDescent="0.25">
      <c r="L599" s="11">
        <v>585</v>
      </c>
      <c r="M599" s="4">
        <v>1.2267925204965568</v>
      </c>
      <c r="N599" s="4">
        <v>1.2367069251954164</v>
      </c>
      <c r="O599" s="4">
        <v>1.2389740564213185</v>
      </c>
      <c r="P599" s="4">
        <v>1.2653081078448409</v>
      </c>
      <c r="Q599" s="4">
        <v>1.1228733754613931</v>
      </c>
      <c r="R599" s="4">
        <f t="shared" si="30"/>
        <v>1.2189852012272211</v>
      </c>
      <c r="S599" s="2">
        <f t="shared" si="31"/>
        <v>0.21898520122722109</v>
      </c>
    </row>
    <row r="600" spans="12:19" x14ac:dyDescent="0.25">
      <c r="L600" s="11">
        <v>586</v>
      </c>
      <c r="M600" s="4">
        <v>1.1468318525484635</v>
      </c>
      <c r="N600" s="4">
        <v>1.1967516985015176</v>
      </c>
      <c r="O600" s="4">
        <v>1.1850798076603237</v>
      </c>
      <c r="P600" s="4">
        <v>1.1003133896223847</v>
      </c>
      <c r="Q600" s="4">
        <v>1.0844429379526463</v>
      </c>
      <c r="R600" s="4">
        <f t="shared" si="30"/>
        <v>1.1422290026220394</v>
      </c>
      <c r="S600" s="2">
        <f t="shared" si="31"/>
        <v>0.14222900262203941</v>
      </c>
    </row>
    <row r="601" spans="12:19" x14ac:dyDescent="0.25">
      <c r="L601" s="11">
        <v>587</v>
      </c>
      <c r="M601" s="4">
        <v>1.1065829252269803</v>
      </c>
      <c r="N601" s="4">
        <v>1.1434802746622255</v>
      </c>
      <c r="O601" s="4">
        <v>1.3544720075211081</v>
      </c>
      <c r="P601" s="4">
        <v>1.1240337243648721</v>
      </c>
      <c r="Q601" s="4">
        <v>1.0893101899206381</v>
      </c>
      <c r="R601" s="4">
        <f t="shared" si="30"/>
        <v>1.1721941063121024</v>
      </c>
      <c r="S601" s="2">
        <f t="shared" si="31"/>
        <v>0.17219410631210241</v>
      </c>
    </row>
    <row r="602" spans="12:19" x14ac:dyDescent="0.25">
      <c r="L602" s="11">
        <v>588</v>
      </c>
      <c r="M602" s="4">
        <v>2.1838442052323499</v>
      </c>
      <c r="N602" s="4">
        <v>1.3093568845590631</v>
      </c>
      <c r="O602" s="4">
        <v>1.2403556741266932</v>
      </c>
      <c r="P602" s="4">
        <v>1.5512076347621087</v>
      </c>
      <c r="Q602" s="4">
        <v>1.327442156079683</v>
      </c>
      <c r="R602" s="4">
        <f t="shared" si="30"/>
        <v>1.5191206850442454</v>
      </c>
      <c r="S602" s="2">
        <f t="shared" si="31"/>
        <v>0.51912068504424536</v>
      </c>
    </row>
    <row r="603" spans="12:19" x14ac:dyDescent="0.25">
      <c r="L603" s="11">
        <v>589</v>
      </c>
      <c r="M603" s="4">
        <v>1.6005996794980053</v>
      </c>
      <c r="N603" s="4">
        <v>1.2690143160252172</v>
      </c>
      <c r="O603" s="4">
        <v>1.3410911204279996</v>
      </c>
      <c r="P603" s="4">
        <v>1.430315383733392</v>
      </c>
      <c r="Q603" s="4">
        <v>1.1864038013636513</v>
      </c>
      <c r="R603" s="4">
        <f t="shared" si="30"/>
        <v>1.3690363507622099</v>
      </c>
      <c r="S603" s="2">
        <f t="shared" si="31"/>
        <v>0.36903635076220986</v>
      </c>
    </row>
    <row r="604" spans="12:19" x14ac:dyDescent="0.25">
      <c r="L604" s="11">
        <v>590</v>
      </c>
      <c r="M604" s="4">
        <v>2.6935518637436422</v>
      </c>
      <c r="N604" s="4">
        <v>1.6393619644869801</v>
      </c>
      <c r="O604" s="4">
        <v>1.4854222577221348</v>
      </c>
      <c r="P604" s="4">
        <v>1.888315869962311</v>
      </c>
      <c r="Q604" s="4">
        <v>1.4219238787416788</v>
      </c>
      <c r="R604" s="4">
        <f t="shared" si="30"/>
        <v>1.8197571337099365</v>
      </c>
      <c r="S604" s="2">
        <f t="shared" si="31"/>
        <v>0.81975713370993653</v>
      </c>
    </row>
    <row r="605" spans="12:19" x14ac:dyDescent="0.25">
      <c r="L605" s="11">
        <v>591</v>
      </c>
      <c r="M605" s="4">
        <v>1.2740328919955739</v>
      </c>
      <c r="N605" s="4">
        <v>1.2303710067367002</v>
      </c>
      <c r="O605" s="4">
        <v>1.3370601679349126</v>
      </c>
      <c r="P605" s="4">
        <v>1.1784529860325388</v>
      </c>
      <c r="Q605" s="4">
        <v>1.1419068861504083</v>
      </c>
      <c r="R605" s="4">
        <f t="shared" si="30"/>
        <v>1.2365810976658158</v>
      </c>
      <c r="S605" s="2">
        <f t="shared" si="31"/>
        <v>0.23658109766581581</v>
      </c>
    </row>
    <row r="606" spans="12:19" x14ac:dyDescent="0.25">
      <c r="L606" s="11">
        <v>592</v>
      </c>
      <c r="M606" s="4">
        <v>1.7364797949134159</v>
      </c>
      <c r="N606" s="4">
        <v>1.1375490826445414</v>
      </c>
      <c r="O606" s="4">
        <v>1.2800076594886538</v>
      </c>
      <c r="P606" s="4">
        <v>1.4046836593390639</v>
      </c>
      <c r="Q606" s="4">
        <v>1.2764119026669307</v>
      </c>
      <c r="R606" s="4">
        <f t="shared" si="30"/>
        <v>1.3723822797512721</v>
      </c>
      <c r="S606" s="2">
        <f t="shared" si="31"/>
        <v>0.37238227975127214</v>
      </c>
    </row>
    <row r="607" spans="12:19" x14ac:dyDescent="0.25">
      <c r="L607" s="11">
        <v>593</v>
      </c>
      <c r="M607" s="4">
        <v>1.8730508888341746</v>
      </c>
      <c r="N607" s="4">
        <v>1.3459032554281229</v>
      </c>
      <c r="O607" s="4">
        <v>1.5182766356861093</v>
      </c>
      <c r="P607" s="4">
        <v>1.5294605656903464</v>
      </c>
      <c r="Q607" s="4">
        <v>1.2981277361010091</v>
      </c>
      <c r="R607" s="4">
        <f t="shared" si="30"/>
        <v>1.5200172424173508</v>
      </c>
      <c r="S607" s="2">
        <f t="shared" si="31"/>
        <v>0.52001724241735081</v>
      </c>
    </row>
    <row r="608" spans="12:19" x14ac:dyDescent="0.25">
      <c r="L608" s="11">
        <v>594</v>
      </c>
      <c r="M608" s="4">
        <v>0.6975712782460356</v>
      </c>
      <c r="N608" s="4">
        <v>0.95911489034641317</v>
      </c>
      <c r="O608" s="4">
        <v>1.0244184600658068</v>
      </c>
      <c r="P608" s="4">
        <v>0.85402890194263659</v>
      </c>
      <c r="Q608" s="4">
        <v>0.9704812433642267</v>
      </c>
      <c r="R608" s="4">
        <f t="shared" si="30"/>
        <v>0.90359270323372187</v>
      </c>
      <c r="S608" s="2">
        <f t="shared" si="31"/>
        <v>-9.6407296766278128E-2</v>
      </c>
    </row>
    <row r="609" spans="12:19" x14ac:dyDescent="0.25">
      <c r="L609" s="11">
        <v>595</v>
      </c>
      <c r="M609" s="4">
        <v>3.4925006049836376</v>
      </c>
      <c r="N609" s="4">
        <v>2.1638712982467134</v>
      </c>
      <c r="O609" s="4">
        <v>1.5711160212344228</v>
      </c>
      <c r="P609" s="4">
        <v>2.5689771684928369</v>
      </c>
      <c r="Q609" s="4">
        <v>1.5869798922929577</v>
      </c>
      <c r="R609" s="4">
        <f t="shared" si="30"/>
        <v>2.255376969293533</v>
      </c>
      <c r="S609" s="2">
        <f t="shared" si="31"/>
        <v>1.255376969293533</v>
      </c>
    </row>
    <row r="610" spans="12:19" x14ac:dyDescent="0.25">
      <c r="L610" s="11">
        <v>596</v>
      </c>
      <c r="M610" s="4">
        <v>1.4324320121245291</v>
      </c>
      <c r="N610" s="4">
        <v>1.1955893341088308</v>
      </c>
      <c r="O610" s="4">
        <v>1.2931345498861246</v>
      </c>
      <c r="P610" s="4">
        <v>1.2791685064931813</v>
      </c>
      <c r="Q610" s="4">
        <v>1.1586982522798375</v>
      </c>
      <c r="R610" s="4">
        <f t="shared" si="30"/>
        <v>1.2758553502503835</v>
      </c>
      <c r="S610" s="2">
        <f t="shared" si="31"/>
        <v>0.27585535025038355</v>
      </c>
    </row>
    <row r="611" spans="12:19" x14ac:dyDescent="0.25">
      <c r="L611" s="11">
        <v>597</v>
      </c>
      <c r="M611" s="4">
        <v>1.8049637082778633</v>
      </c>
      <c r="N611" s="4">
        <v>1.0928451437062305</v>
      </c>
      <c r="O611" s="4">
        <v>1.399859074004461</v>
      </c>
      <c r="P611" s="4">
        <v>1.5380958339407165</v>
      </c>
      <c r="Q611" s="4">
        <v>1.2713808219691869</v>
      </c>
      <c r="R611" s="4">
        <f t="shared" si="30"/>
        <v>1.4340730785641607</v>
      </c>
      <c r="S611" s="2">
        <f t="shared" si="31"/>
        <v>0.43407307856416066</v>
      </c>
    </row>
    <row r="612" spans="12:19" x14ac:dyDescent="0.25">
      <c r="L612" s="11">
        <v>598</v>
      </c>
      <c r="M612" s="4">
        <v>1.0058042361675139</v>
      </c>
      <c r="N612" s="4">
        <v>1.054743218631413</v>
      </c>
      <c r="O612" s="4">
        <v>1.072141588549657</v>
      </c>
      <c r="P612" s="4">
        <v>1.1086101270211841</v>
      </c>
      <c r="Q612" s="4">
        <v>1.0900701228877561</v>
      </c>
      <c r="R612" s="4">
        <f t="shared" si="30"/>
        <v>1.0672788703063196</v>
      </c>
      <c r="S612" s="2">
        <f t="shared" si="31"/>
        <v>6.7278870306319627E-2</v>
      </c>
    </row>
    <row r="613" spans="12:19" x14ac:dyDescent="0.25">
      <c r="L613" s="11">
        <v>599</v>
      </c>
      <c r="M613" s="4">
        <v>1.6340944515352693</v>
      </c>
      <c r="N613" s="4">
        <v>1.1498030139143007</v>
      </c>
      <c r="O613" s="4">
        <v>1.458658784001533</v>
      </c>
      <c r="P613" s="4">
        <v>1.4927562376610792</v>
      </c>
      <c r="Q613" s="4">
        <v>1.2252564363883276</v>
      </c>
      <c r="R613" s="4">
        <f t="shared" si="30"/>
        <v>1.4051881962393022</v>
      </c>
      <c r="S613" s="2">
        <f t="shared" si="31"/>
        <v>0.40518819623930225</v>
      </c>
    </row>
    <row r="614" spans="12:19" x14ac:dyDescent="0.25">
      <c r="L614" s="11">
        <v>600</v>
      </c>
      <c r="M614" s="4">
        <v>1.7754881205902355</v>
      </c>
      <c r="N614" s="4">
        <v>1.2869116086849979</v>
      </c>
      <c r="O614" s="4">
        <v>1.1981171860905819</v>
      </c>
      <c r="P614" s="4">
        <v>1.5134138470965899</v>
      </c>
      <c r="Q614" s="4">
        <v>1.220406823444506</v>
      </c>
      <c r="R614" s="4">
        <f t="shared" si="30"/>
        <v>1.3959967609231909</v>
      </c>
      <c r="S614" s="2">
        <f t="shared" si="31"/>
        <v>0.39599676092319092</v>
      </c>
    </row>
    <row r="615" spans="12:19" x14ac:dyDescent="0.25">
      <c r="L615" s="11">
        <v>601</v>
      </c>
      <c r="M615" s="4">
        <v>2.0037595560828367</v>
      </c>
      <c r="N615" s="4">
        <v>1.0509597131353572</v>
      </c>
      <c r="O615" s="4">
        <v>1.3151882438387417</v>
      </c>
      <c r="P615" s="4">
        <v>1.6168099103394875</v>
      </c>
      <c r="Q615" s="4">
        <v>1.2886656267338066</v>
      </c>
      <c r="R615" s="4">
        <f t="shared" si="30"/>
        <v>1.4659638464259079</v>
      </c>
      <c r="S615" s="2">
        <f t="shared" si="31"/>
        <v>0.46596384642590793</v>
      </c>
    </row>
    <row r="616" spans="12:19" x14ac:dyDescent="0.25">
      <c r="L616" s="11">
        <v>602</v>
      </c>
      <c r="M616" s="4">
        <v>1.9807239982342302</v>
      </c>
      <c r="N616" s="4">
        <v>1.5545847187893411</v>
      </c>
      <c r="O616" s="4">
        <v>1.4758019874423884</v>
      </c>
      <c r="P616" s="4">
        <v>1.7634250080931506</v>
      </c>
      <c r="Q616" s="4">
        <v>1.3095760979552322</v>
      </c>
      <c r="R616" s="4">
        <f t="shared" si="30"/>
        <v>1.6152398973314783</v>
      </c>
      <c r="S616" s="2">
        <f t="shared" si="31"/>
        <v>0.61523989733147832</v>
      </c>
    </row>
    <row r="617" spans="12:19" x14ac:dyDescent="0.25">
      <c r="L617" s="11">
        <v>603</v>
      </c>
      <c r="M617" s="4">
        <v>1.8294115658473264</v>
      </c>
      <c r="N617" s="4">
        <v>1.3712961586790187</v>
      </c>
      <c r="O617" s="4">
        <v>1.3559401745089348</v>
      </c>
      <c r="P617" s="4">
        <v>1.6635585073715542</v>
      </c>
      <c r="Q617" s="4">
        <v>1.2593150168092242</v>
      </c>
      <c r="R617" s="4">
        <f t="shared" si="30"/>
        <v>1.4966932770246575</v>
      </c>
      <c r="S617" s="2">
        <f t="shared" si="31"/>
        <v>0.49669327702465749</v>
      </c>
    </row>
    <row r="618" spans="12:19" x14ac:dyDescent="0.25">
      <c r="L618" s="11">
        <v>604</v>
      </c>
      <c r="M618" s="4">
        <v>0.72728831670313754</v>
      </c>
      <c r="N618" s="4">
        <v>0.9750125298272978</v>
      </c>
      <c r="O618" s="4">
        <v>1.0034531835477909</v>
      </c>
      <c r="P618" s="4">
        <v>0.86538046057657247</v>
      </c>
      <c r="Q618" s="4">
        <v>0.96209354604200292</v>
      </c>
      <c r="R618" s="4">
        <f t="shared" si="30"/>
        <v>0.90770031245456417</v>
      </c>
      <c r="S618" s="2">
        <f t="shared" si="31"/>
        <v>-9.2299687545435827E-2</v>
      </c>
    </row>
    <row r="619" spans="12:19" x14ac:dyDescent="0.25">
      <c r="L619" s="11">
        <v>605</v>
      </c>
      <c r="M619" s="4">
        <v>0.92972123613281776</v>
      </c>
      <c r="N619" s="4">
        <v>0.99771573113606271</v>
      </c>
      <c r="O619" s="4">
        <v>1.2126438611145902</v>
      </c>
      <c r="P619" s="4">
        <v>1.0192191987589798</v>
      </c>
      <c r="Q619" s="4">
        <v>1.0256765392477043</v>
      </c>
      <c r="R619" s="4">
        <f t="shared" si="30"/>
        <v>1.0457274012636744</v>
      </c>
      <c r="S619" s="2">
        <f t="shared" si="31"/>
        <v>4.5727401263674361E-2</v>
      </c>
    </row>
    <row r="620" spans="12:19" x14ac:dyDescent="0.25">
      <c r="L620" s="11">
        <v>606</v>
      </c>
      <c r="M620" s="4">
        <v>0.84651553265720403</v>
      </c>
      <c r="N620" s="4">
        <v>0.96094592128913425</v>
      </c>
      <c r="O620" s="4">
        <v>1.1180713456709725</v>
      </c>
      <c r="P620" s="4">
        <v>0.95888940967811953</v>
      </c>
      <c r="Q620" s="4">
        <v>0.9833367939259352</v>
      </c>
      <c r="R620" s="4">
        <f t="shared" si="30"/>
        <v>0.97996296729943544</v>
      </c>
      <c r="S620" s="2">
        <f t="shared" si="31"/>
        <v>-2.0037032700564561E-2</v>
      </c>
    </row>
    <row r="621" spans="12:19" x14ac:dyDescent="0.25">
      <c r="L621" s="11">
        <v>607</v>
      </c>
      <c r="M621" s="4">
        <v>1.9450497699333722</v>
      </c>
      <c r="N621" s="4">
        <v>1.2354933838895883</v>
      </c>
      <c r="O621" s="4">
        <v>1.3297058222477522</v>
      </c>
      <c r="P621" s="4">
        <v>1.6280228931662306</v>
      </c>
      <c r="Q621" s="4">
        <v>1.2818552004441863</v>
      </c>
      <c r="R621" s="4">
        <f t="shared" si="30"/>
        <v>1.4884831284539815</v>
      </c>
      <c r="S621" s="2">
        <f t="shared" si="31"/>
        <v>0.48848312845398145</v>
      </c>
    </row>
    <row r="622" spans="12:19" x14ac:dyDescent="0.25">
      <c r="L622" s="11">
        <v>608</v>
      </c>
      <c r="M622" s="4">
        <v>0.98881679819957025</v>
      </c>
      <c r="N622" s="4">
        <v>0.96040809327649768</v>
      </c>
      <c r="O622" s="4">
        <v>1.043243858277551</v>
      </c>
      <c r="P622" s="4">
        <v>1.0508124897497977</v>
      </c>
      <c r="Q622" s="4">
        <v>1.0707151870855725</v>
      </c>
      <c r="R622" s="4">
        <f t="shared" si="30"/>
        <v>1.0261083637727215</v>
      </c>
      <c r="S622" s="2">
        <f t="shared" si="31"/>
        <v>2.6108363772721521E-2</v>
      </c>
    </row>
    <row r="623" spans="12:19" x14ac:dyDescent="0.25">
      <c r="L623" s="11">
        <v>609</v>
      </c>
      <c r="M623" s="4">
        <v>1.3004376966960121</v>
      </c>
      <c r="N623" s="4">
        <v>1.0902777039979961</v>
      </c>
      <c r="O623" s="4">
        <v>1.2680302039506124</v>
      </c>
      <c r="P623" s="4">
        <v>1.24459286491141</v>
      </c>
      <c r="Q623" s="4">
        <v>1.1089507930455524</v>
      </c>
      <c r="R623" s="4">
        <f t="shared" si="30"/>
        <v>1.2099768715541777</v>
      </c>
      <c r="S623" s="2">
        <f t="shared" si="31"/>
        <v>0.20997687155417766</v>
      </c>
    </row>
    <row r="624" spans="12:19" x14ac:dyDescent="0.25">
      <c r="L624" s="11">
        <v>610</v>
      </c>
      <c r="M624" s="4">
        <v>1.8445638394482149</v>
      </c>
      <c r="N624" s="4">
        <v>1.3085525703068164</v>
      </c>
      <c r="O624" s="4">
        <v>1.2461215630910076</v>
      </c>
      <c r="P624" s="4">
        <v>1.4949542136056746</v>
      </c>
      <c r="Q624" s="4">
        <v>1.2519508682973868</v>
      </c>
      <c r="R624" s="4">
        <f t="shared" si="30"/>
        <v>1.4269742935611505</v>
      </c>
      <c r="S624" s="2">
        <f t="shared" si="31"/>
        <v>0.42697429356115046</v>
      </c>
    </row>
    <row r="625" spans="12:19" x14ac:dyDescent="0.25">
      <c r="L625" s="11">
        <v>611</v>
      </c>
      <c r="M625" s="4">
        <v>0.86862777375604205</v>
      </c>
      <c r="N625" s="4">
        <v>1.1302995522721349</v>
      </c>
      <c r="O625" s="4">
        <v>0.96181219894156711</v>
      </c>
      <c r="P625" s="4">
        <v>0.89305597623477906</v>
      </c>
      <c r="Q625" s="4">
        <v>0.9836969800889771</v>
      </c>
      <c r="R625" s="4">
        <f t="shared" si="30"/>
        <v>0.96052814988409052</v>
      </c>
      <c r="S625" s="2">
        <f t="shared" si="31"/>
        <v>-3.9471850115909479E-2</v>
      </c>
    </row>
    <row r="626" spans="12:19" x14ac:dyDescent="0.25">
      <c r="L626" s="11">
        <v>612</v>
      </c>
      <c r="M626" s="4">
        <v>1.5030673710366584</v>
      </c>
      <c r="N626" s="4">
        <v>1.1834699737013299</v>
      </c>
      <c r="O626" s="4">
        <v>1.2528802899153044</v>
      </c>
      <c r="P626" s="4">
        <v>1.3137913296400161</v>
      </c>
      <c r="Q626" s="4">
        <v>1.1714369433716239</v>
      </c>
      <c r="R626" s="4">
        <f t="shared" si="30"/>
        <v>1.2878554092845043</v>
      </c>
      <c r="S626" s="2">
        <f t="shared" si="31"/>
        <v>0.28785540928450426</v>
      </c>
    </row>
    <row r="627" spans="12:19" x14ac:dyDescent="0.25">
      <c r="L627" s="11">
        <v>613</v>
      </c>
      <c r="M627" s="4">
        <v>0.63228133333283087</v>
      </c>
      <c r="N627" s="4">
        <v>0.76464479864747092</v>
      </c>
      <c r="O627" s="4">
        <v>1.0742058450494687</v>
      </c>
      <c r="P627" s="4">
        <v>0.75509924049797073</v>
      </c>
      <c r="Q627" s="4">
        <v>0.88110808805202101</v>
      </c>
      <c r="R627" s="4">
        <f t="shared" si="30"/>
        <v>0.83348862796867174</v>
      </c>
      <c r="S627" s="2">
        <f t="shared" si="31"/>
        <v>-0.16651137203132826</v>
      </c>
    </row>
    <row r="628" spans="12:19" x14ac:dyDescent="0.25">
      <c r="L628" s="11">
        <v>614</v>
      </c>
      <c r="M628" s="4">
        <v>2.1893866708732701</v>
      </c>
      <c r="N628" s="4">
        <v>1.5129393349740794</v>
      </c>
      <c r="O628" s="4">
        <v>1.2635978929861282</v>
      </c>
      <c r="P628" s="4">
        <v>1.7528919799811924</v>
      </c>
      <c r="Q628" s="4">
        <v>1.3359154838018077</v>
      </c>
      <c r="R628" s="4">
        <f t="shared" si="30"/>
        <v>1.6018504943622327</v>
      </c>
      <c r="S628" s="2">
        <f t="shared" si="31"/>
        <v>0.6018504943622327</v>
      </c>
    </row>
    <row r="629" spans="12:19" x14ac:dyDescent="0.25">
      <c r="L629" s="11">
        <v>615</v>
      </c>
      <c r="M629" s="4">
        <v>1.4647786956474713</v>
      </c>
      <c r="N629" s="4">
        <v>1.2930410988323309</v>
      </c>
      <c r="O629" s="4">
        <v>1.1752579011691728</v>
      </c>
      <c r="P629" s="4">
        <v>1.3103778565076893</v>
      </c>
      <c r="Q629" s="4">
        <v>1.1901977292438162</v>
      </c>
      <c r="R629" s="4">
        <f t="shared" si="30"/>
        <v>1.2822365556218043</v>
      </c>
      <c r="S629" s="2">
        <f t="shared" si="31"/>
        <v>0.28223655562180427</v>
      </c>
    </row>
    <row r="630" spans="12:19" x14ac:dyDescent="0.25">
      <c r="L630" s="11">
        <v>616</v>
      </c>
      <c r="M630" s="4">
        <v>1.3363010360777803</v>
      </c>
      <c r="N630" s="4">
        <v>1.12986317939335</v>
      </c>
      <c r="O630" s="4">
        <v>1.2273403615376948</v>
      </c>
      <c r="P630" s="4">
        <v>1.2844320353878527</v>
      </c>
      <c r="Q630" s="4">
        <v>1.1568897658918282</v>
      </c>
      <c r="R630" s="4">
        <f t="shared" si="30"/>
        <v>1.2312590260151892</v>
      </c>
      <c r="S630" s="2">
        <f t="shared" si="31"/>
        <v>0.23125902601518922</v>
      </c>
    </row>
    <row r="631" spans="12:19" x14ac:dyDescent="0.25">
      <c r="L631" s="11">
        <v>617</v>
      </c>
      <c r="M631" s="4">
        <v>2.2722835964251367</v>
      </c>
      <c r="N631" s="4">
        <v>1.1438156375505681</v>
      </c>
      <c r="O631" s="4">
        <v>1.5516321995170301</v>
      </c>
      <c r="P631" s="4">
        <v>1.6975142671384991</v>
      </c>
      <c r="Q631" s="4">
        <v>1.3328267796005708</v>
      </c>
      <c r="R631" s="4">
        <f t="shared" si="30"/>
        <v>1.6159444815333783</v>
      </c>
      <c r="S631" s="2">
        <f t="shared" si="31"/>
        <v>0.61594448153337833</v>
      </c>
    </row>
    <row r="632" spans="12:19" x14ac:dyDescent="0.25">
      <c r="L632" s="11">
        <v>618</v>
      </c>
      <c r="M632" s="4">
        <v>0.63753467992161295</v>
      </c>
      <c r="N632" s="4">
        <v>0.85658609496191085</v>
      </c>
      <c r="O632" s="4">
        <v>0.84678207821456419</v>
      </c>
      <c r="P632" s="4">
        <v>0.76501348949088599</v>
      </c>
      <c r="Q632" s="4">
        <v>0.92461404211442466</v>
      </c>
      <c r="R632" s="4">
        <f t="shared" si="30"/>
        <v>0.80530170235068577</v>
      </c>
      <c r="S632" s="2">
        <f t="shared" si="31"/>
        <v>-0.19469829764931423</v>
      </c>
    </row>
    <row r="633" spans="12:19" x14ac:dyDescent="0.25">
      <c r="L633" s="11">
        <v>619</v>
      </c>
      <c r="M633" s="4">
        <v>1.6350515523260354</v>
      </c>
      <c r="N633" s="4">
        <v>1.05167662263785</v>
      </c>
      <c r="O633" s="4">
        <v>1.3990243366479937</v>
      </c>
      <c r="P633" s="4">
        <v>1.4257934609795038</v>
      </c>
      <c r="Q633" s="4">
        <v>1.2085494911717649</v>
      </c>
      <c r="R633" s="4">
        <f t="shared" si="30"/>
        <v>1.3582049714896749</v>
      </c>
      <c r="S633" s="2">
        <f t="shared" si="31"/>
        <v>0.35820497148967489</v>
      </c>
    </row>
    <row r="634" spans="12:19" x14ac:dyDescent="0.25">
      <c r="L634" s="11">
        <v>620</v>
      </c>
      <c r="M634" s="4">
        <v>3.0746373836509675</v>
      </c>
      <c r="N634" s="4">
        <v>1.5832068033893782</v>
      </c>
      <c r="O634" s="4">
        <v>1.3817987292338918</v>
      </c>
      <c r="P634" s="4">
        <v>2.1137201007474755</v>
      </c>
      <c r="Q634" s="4">
        <v>1.4913847134312108</v>
      </c>
      <c r="R634" s="4">
        <f t="shared" si="30"/>
        <v>1.9213388831444673</v>
      </c>
      <c r="S634" s="2">
        <f t="shared" si="31"/>
        <v>0.92133888314446732</v>
      </c>
    </row>
    <row r="635" spans="12:19" x14ac:dyDescent="0.25">
      <c r="L635" s="11">
        <v>621</v>
      </c>
      <c r="M635" s="4">
        <v>1.2245851163706802</v>
      </c>
      <c r="N635" s="4">
        <v>1.2924932552120023</v>
      </c>
      <c r="O635" s="4">
        <v>1.1438948873689072</v>
      </c>
      <c r="P635" s="4">
        <v>1.2473742664384104</v>
      </c>
      <c r="Q635" s="4">
        <v>1.1088799183360907</v>
      </c>
      <c r="R635" s="4">
        <f t="shared" si="30"/>
        <v>1.1982718217871102</v>
      </c>
      <c r="S635" s="2">
        <f t="shared" si="31"/>
        <v>0.19827182178711023</v>
      </c>
    </row>
    <row r="636" spans="12:19" x14ac:dyDescent="0.25">
      <c r="L636" s="11">
        <v>622</v>
      </c>
      <c r="M636" s="4">
        <v>1.0003248881110578</v>
      </c>
      <c r="N636" s="4">
        <v>1.0551871584588557</v>
      </c>
      <c r="O636" s="4">
        <v>1.0687720255237372</v>
      </c>
      <c r="P636" s="4">
        <v>1.016126063893215</v>
      </c>
      <c r="Q636" s="4">
        <v>1.048521850115367</v>
      </c>
      <c r="R636" s="4">
        <f t="shared" si="30"/>
        <v>1.0382285798128401</v>
      </c>
      <c r="S636" s="2">
        <f t="shared" si="31"/>
        <v>3.8228579812840113E-2</v>
      </c>
    </row>
    <row r="637" spans="12:19" x14ac:dyDescent="0.25">
      <c r="L637" s="11">
        <v>623</v>
      </c>
      <c r="M637" s="4">
        <v>2.9236422775738053</v>
      </c>
      <c r="N637" s="4">
        <v>1.3906632880749912</v>
      </c>
      <c r="O637" s="4">
        <v>1.598891067325374</v>
      </c>
      <c r="P637" s="4">
        <v>2.0817367579071413</v>
      </c>
      <c r="Q637" s="4">
        <v>1.5124851517073246</v>
      </c>
      <c r="R637" s="4">
        <f t="shared" si="30"/>
        <v>1.910137578012185</v>
      </c>
      <c r="S637" s="2">
        <f t="shared" si="31"/>
        <v>0.91013757801218498</v>
      </c>
    </row>
    <row r="638" spans="12:19" x14ac:dyDescent="0.25">
      <c r="L638" s="11">
        <v>624</v>
      </c>
      <c r="M638" s="4">
        <v>1.0976667425148841</v>
      </c>
      <c r="N638" s="4">
        <v>1.0997468713250451</v>
      </c>
      <c r="O638" s="4">
        <v>1.1826171859059367</v>
      </c>
      <c r="P638" s="4">
        <v>1.092793978017361</v>
      </c>
      <c r="Q638" s="4">
        <v>1.0683293666586846</v>
      </c>
      <c r="R638" s="4">
        <f t="shared" si="30"/>
        <v>1.1116390686246829</v>
      </c>
      <c r="S638" s="2">
        <f t="shared" si="31"/>
        <v>0.11163906862468287</v>
      </c>
    </row>
    <row r="639" spans="12:19" x14ac:dyDescent="0.25">
      <c r="L639" s="11">
        <v>625</v>
      </c>
      <c r="M639" s="4">
        <v>1.3024212221637057</v>
      </c>
      <c r="N639" s="4">
        <v>1.2443645807231301</v>
      </c>
      <c r="O639" s="4">
        <v>1.2589294764773955</v>
      </c>
      <c r="P639" s="4">
        <v>1.1758413731098984</v>
      </c>
      <c r="Q639" s="4">
        <v>1.1262822013358462</v>
      </c>
      <c r="R639" s="4">
        <f t="shared" si="30"/>
        <v>1.2221118600017551</v>
      </c>
      <c r="S639" s="2">
        <f t="shared" si="31"/>
        <v>0.22211186000175509</v>
      </c>
    </row>
    <row r="640" spans="12:19" x14ac:dyDescent="0.25">
      <c r="L640" s="11">
        <v>626</v>
      </c>
      <c r="M640" s="4">
        <v>1.5078540525342443</v>
      </c>
      <c r="N640" s="4">
        <v>1.2388811804778359</v>
      </c>
      <c r="O640" s="4">
        <v>1.1744473068189216</v>
      </c>
      <c r="P640" s="4">
        <v>1.2951248702563822</v>
      </c>
      <c r="Q640" s="4">
        <v>1.1681375825602158</v>
      </c>
      <c r="R640" s="4">
        <f t="shared" si="30"/>
        <v>1.2743915460597448</v>
      </c>
      <c r="S640" s="2">
        <f t="shared" si="31"/>
        <v>0.27439154605974481</v>
      </c>
    </row>
    <row r="641" spans="12:19" x14ac:dyDescent="0.25">
      <c r="L641" s="11">
        <v>627</v>
      </c>
      <c r="M641" s="4">
        <v>1.0889721640216583</v>
      </c>
      <c r="N641" s="4">
        <v>1.1229264637539418</v>
      </c>
      <c r="O641" s="4">
        <v>1.2670191715636678</v>
      </c>
      <c r="P641" s="4">
        <v>1.136791246594995</v>
      </c>
      <c r="Q641" s="4">
        <v>1.0864725039056033</v>
      </c>
      <c r="R641" s="4">
        <f t="shared" si="30"/>
        <v>1.1465238038787908</v>
      </c>
      <c r="S641" s="2">
        <f t="shared" si="31"/>
        <v>0.14652380387879083</v>
      </c>
    </row>
    <row r="642" spans="12:19" x14ac:dyDescent="0.25">
      <c r="L642" s="11">
        <v>628</v>
      </c>
      <c r="M642" s="4">
        <v>0.68269730412179108</v>
      </c>
      <c r="N642" s="4">
        <v>1.0040482718542503</v>
      </c>
      <c r="O642" s="4">
        <v>0.99119927437733946</v>
      </c>
      <c r="P642" s="4">
        <v>0.80862700708581814</v>
      </c>
      <c r="Q642" s="4">
        <v>0.91608695019368269</v>
      </c>
      <c r="R642" s="4">
        <f t="shared" si="30"/>
        <v>0.8799026675824565</v>
      </c>
      <c r="S642" s="2">
        <f t="shared" si="31"/>
        <v>-0.1200973324175435</v>
      </c>
    </row>
    <row r="643" spans="12:19" x14ac:dyDescent="0.25">
      <c r="L643" s="11">
        <v>629</v>
      </c>
      <c r="M643" s="4">
        <v>1.9513560072672274</v>
      </c>
      <c r="N643" s="4">
        <v>1.1398681641109376</v>
      </c>
      <c r="O643" s="4">
        <v>1.4229466197318086</v>
      </c>
      <c r="P643" s="4">
        <v>1.6970947625333641</v>
      </c>
      <c r="Q643" s="4">
        <v>1.2961051990983838</v>
      </c>
      <c r="R643" s="4">
        <f t="shared" si="30"/>
        <v>1.5137874356304066</v>
      </c>
      <c r="S643" s="2">
        <f t="shared" si="31"/>
        <v>0.51378743563040663</v>
      </c>
    </row>
    <row r="644" spans="12:19" x14ac:dyDescent="0.25">
      <c r="L644" s="11">
        <v>630</v>
      </c>
      <c r="M644" s="4">
        <v>0.74334884695175663</v>
      </c>
      <c r="N644" s="4">
        <v>0.95093314055315004</v>
      </c>
      <c r="O644" s="4">
        <v>1.0601249284473513</v>
      </c>
      <c r="P644" s="4">
        <v>0.82900032726377959</v>
      </c>
      <c r="Q644" s="4">
        <v>0.94152623439646699</v>
      </c>
      <c r="R644" s="4">
        <f t="shared" si="30"/>
        <v>0.90905906909537759</v>
      </c>
      <c r="S644" s="2">
        <f t="shared" si="31"/>
        <v>-9.0940930904622408E-2</v>
      </c>
    </row>
    <row r="645" spans="12:19" x14ac:dyDescent="0.25">
      <c r="L645" s="11">
        <v>631</v>
      </c>
      <c r="M645" s="4">
        <v>0.98307570229872709</v>
      </c>
      <c r="N645" s="4">
        <v>1.1516214489073764</v>
      </c>
      <c r="O645" s="4">
        <v>1.0354769015071545</v>
      </c>
      <c r="P645" s="4">
        <v>1.0085614487541228</v>
      </c>
      <c r="Q645" s="4">
        <v>1.0454354592402106</v>
      </c>
      <c r="R645" s="4">
        <f t="shared" si="30"/>
        <v>1.0401634482134647</v>
      </c>
      <c r="S645" s="2">
        <f t="shared" si="31"/>
        <v>4.0163448213464736E-2</v>
      </c>
    </row>
    <row r="646" spans="12:19" x14ac:dyDescent="0.25">
      <c r="L646" s="11">
        <v>632</v>
      </c>
      <c r="M646" s="4">
        <v>0.43915450105870896</v>
      </c>
      <c r="N646" s="4">
        <v>0.88763736906364255</v>
      </c>
      <c r="O646" s="4">
        <v>0.84893318401213536</v>
      </c>
      <c r="P646" s="4">
        <v>0.60898593336864526</v>
      </c>
      <c r="Q646" s="4">
        <v>0.77757182670529479</v>
      </c>
      <c r="R646" s="4">
        <f t="shared" si="30"/>
        <v>0.7106507018348972</v>
      </c>
      <c r="S646" s="2">
        <f t="shared" si="31"/>
        <v>-0.2893492981651028</v>
      </c>
    </row>
    <row r="647" spans="12:19" x14ac:dyDescent="0.25">
      <c r="L647" s="11">
        <v>633</v>
      </c>
      <c r="M647" s="4">
        <v>1.5801985415715138</v>
      </c>
      <c r="N647" s="4">
        <v>1.4447441331778328</v>
      </c>
      <c r="O647" s="4">
        <v>1.0070489546182011</v>
      </c>
      <c r="P647" s="4">
        <v>1.4051635269675979</v>
      </c>
      <c r="Q647" s="4">
        <v>1.1984618550838981</v>
      </c>
      <c r="R647" s="4">
        <f t="shared" si="30"/>
        <v>1.310286154822343</v>
      </c>
      <c r="S647" s="2">
        <f t="shared" si="31"/>
        <v>0.31028615482234301</v>
      </c>
    </row>
    <row r="648" spans="12:19" x14ac:dyDescent="0.25">
      <c r="L648" s="11">
        <v>634</v>
      </c>
      <c r="M648" s="4">
        <v>0.89632624401162708</v>
      </c>
      <c r="N648" s="4">
        <v>1.1913932099339637</v>
      </c>
      <c r="O648" s="4">
        <v>1.0457832333522952</v>
      </c>
      <c r="P648" s="4">
        <v>0.98351439328690893</v>
      </c>
      <c r="Q648" s="4">
        <v>1.0632391860656516</v>
      </c>
      <c r="R648" s="4">
        <f t="shared" si="30"/>
        <v>1.0301821265077693</v>
      </c>
      <c r="S648" s="2">
        <f t="shared" si="31"/>
        <v>3.0182126507769302E-2</v>
      </c>
    </row>
    <row r="649" spans="12:19" x14ac:dyDescent="0.25">
      <c r="L649" s="11">
        <v>635</v>
      </c>
      <c r="M649" s="4">
        <v>2.1957627049480624</v>
      </c>
      <c r="N649" s="4">
        <v>1.3107717418495055</v>
      </c>
      <c r="O649" s="4">
        <v>1.2753281497155651</v>
      </c>
      <c r="P649" s="4">
        <v>1.7374477659940046</v>
      </c>
      <c r="Q649" s="4">
        <v>1.3665878107437763</v>
      </c>
      <c r="R649" s="4">
        <f t="shared" si="30"/>
        <v>1.5762355220634696</v>
      </c>
      <c r="S649" s="2">
        <f t="shared" si="31"/>
        <v>0.57623552206346962</v>
      </c>
    </row>
    <row r="650" spans="12:19" x14ac:dyDescent="0.25">
      <c r="L650" s="11">
        <v>636</v>
      </c>
      <c r="M650" s="4">
        <v>1.0765081755968124</v>
      </c>
      <c r="N650" s="4">
        <v>0.95445570660389356</v>
      </c>
      <c r="O650" s="4">
        <v>1.0890614156202461</v>
      </c>
      <c r="P650" s="4">
        <v>1.0546142048349569</v>
      </c>
      <c r="Q650" s="4">
        <v>1.077699191501132</v>
      </c>
      <c r="R650" s="4">
        <f t="shared" si="30"/>
        <v>1.0556146268719149</v>
      </c>
      <c r="S650" s="2">
        <f t="shared" si="31"/>
        <v>5.5614626871914874E-2</v>
      </c>
    </row>
    <row r="651" spans="12:19" x14ac:dyDescent="0.25">
      <c r="L651" s="11">
        <v>637</v>
      </c>
      <c r="M651" s="4">
        <v>1.2390924543852047</v>
      </c>
      <c r="N651" s="4">
        <v>1.3634611451107941</v>
      </c>
      <c r="O651" s="4">
        <v>1.3312579816604373</v>
      </c>
      <c r="P651" s="4">
        <v>1.2632603011577475</v>
      </c>
      <c r="Q651" s="4">
        <v>1.171343541721996</v>
      </c>
      <c r="R651" s="4">
        <f t="shared" si="30"/>
        <v>1.2729492073903117</v>
      </c>
      <c r="S651" s="2">
        <f t="shared" si="31"/>
        <v>0.2729492073903117</v>
      </c>
    </row>
    <row r="652" spans="12:19" x14ac:dyDescent="0.25">
      <c r="L652" s="11">
        <v>638</v>
      </c>
      <c r="M652" s="4">
        <v>0.98901652131649642</v>
      </c>
      <c r="N652" s="4">
        <v>0.96963647366281935</v>
      </c>
      <c r="O652" s="4">
        <v>1.1447932676339974</v>
      </c>
      <c r="P652" s="4">
        <v>0.94472945052712687</v>
      </c>
      <c r="Q652" s="4">
        <v>1.0070978575453604</v>
      </c>
      <c r="R652" s="4">
        <f t="shared" si="30"/>
        <v>1.017632912500418</v>
      </c>
      <c r="S652" s="2">
        <f t="shared" si="31"/>
        <v>1.7632912500417985E-2</v>
      </c>
    </row>
    <row r="653" spans="12:19" x14ac:dyDescent="0.25">
      <c r="L653" s="11">
        <v>639</v>
      </c>
      <c r="M653" s="4">
        <v>1.8236417978375914</v>
      </c>
      <c r="N653" s="4">
        <v>1.1533516068970275</v>
      </c>
      <c r="O653" s="4">
        <v>1.450759785166146</v>
      </c>
      <c r="P653" s="4">
        <v>1.4991757653777602</v>
      </c>
      <c r="Q653" s="4">
        <v>1.2874901525028901</v>
      </c>
      <c r="R653" s="4">
        <f t="shared" si="30"/>
        <v>1.4547892525205695</v>
      </c>
      <c r="S653" s="2">
        <f t="shared" si="31"/>
        <v>0.45478925252056945</v>
      </c>
    </row>
    <row r="654" spans="12:19" x14ac:dyDescent="0.25">
      <c r="L654" s="11">
        <v>640</v>
      </c>
      <c r="M654" s="4">
        <v>1.8641692730313502</v>
      </c>
      <c r="N654" s="4">
        <v>1.4005231631926189</v>
      </c>
      <c r="O654" s="4">
        <v>1.578550984197673</v>
      </c>
      <c r="P654" s="4">
        <v>1.5663334628787269</v>
      </c>
      <c r="Q654" s="4">
        <v>1.2991586249685385</v>
      </c>
      <c r="R654" s="4">
        <f t="shared" si="30"/>
        <v>1.5493172022446255</v>
      </c>
      <c r="S654" s="2">
        <f t="shared" si="31"/>
        <v>0.54931720224462555</v>
      </c>
    </row>
    <row r="655" spans="12:19" x14ac:dyDescent="0.25">
      <c r="L655" s="11">
        <v>641</v>
      </c>
      <c r="M655" s="4">
        <v>2.7465566867690292</v>
      </c>
      <c r="N655" s="4">
        <v>1.4171508695816946</v>
      </c>
      <c r="O655" s="4">
        <v>1.6414130728919598</v>
      </c>
      <c r="P655" s="4">
        <v>2.0271009843158279</v>
      </c>
      <c r="Q655" s="4">
        <v>1.4803656125061668</v>
      </c>
      <c r="R655" s="4">
        <f t="shared" ref="R655:R718" si="32">SUMPRODUCT(M655:Q655,$M$8:$Q$8)</f>
        <v>1.8720370337351622</v>
      </c>
      <c r="S655" s="2">
        <f t="shared" si="31"/>
        <v>0.87203703373516217</v>
      </c>
    </row>
    <row r="656" spans="12:19" x14ac:dyDescent="0.25">
      <c r="L656" s="11">
        <v>642</v>
      </c>
      <c r="M656" s="4">
        <v>0.65243095837685738</v>
      </c>
      <c r="N656" s="4">
        <v>0.76285180274269637</v>
      </c>
      <c r="O656" s="4">
        <v>0.85169960881103757</v>
      </c>
      <c r="P656" s="4">
        <v>0.78133019220605471</v>
      </c>
      <c r="Q656" s="4">
        <v>0.89795675902210759</v>
      </c>
      <c r="R656" s="4">
        <f t="shared" si="32"/>
        <v>0.79253413707409304</v>
      </c>
      <c r="S656" s="2">
        <f t="shared" ref="S656:S719" si="33">R656-1</f>
        <v>-0.20746586292590696</v>
      </c>
    </row>
    <row r="657" spans="12:19" x14ac:dyDescent="0.25">
      <c r="L657" s="11">
        <v>643</v>
      </c>
      <c r="M657" s="4">
        <v>1.7565852758213021</v>
      </c>
      <c r="N657" s="4">
        <v>1.5372528607471834</v>
      </c>
      <c r="O657" s="4">
        <v>1.475603087821119</v>
      </c>
      <c r="P657" s="4">
        <v>1.6673294348199703</v>
      </c>
      <c r="Q657" s="4">
        <v>1.3274140511722936</v>
      </c>
      <c r="R657" s="4">
        <f t="shared" si="32"/>
        <v>1.5517371373586324</v>
      </c>
      <c r="S657" s="2">
        <f t="shared" si="33"/>
        <v>0.55173713735863239</v>
      </c>
    </row>
    <row r="658" spans="12:19" x14ac:dyDescent="0.25">
      <c r="L658" s="11">
        <v>644</v>
      </c>
      <c r="M658" s="4">
        <v>2.4023790886503185</v>
      </c>
      <c r="N658" s="4">
        <v>1.989496562368235</v>
      </c>
      <c r="O658" s="4">
        <v>1.4946847457620329</v>
      </c>
      <c r="P658" s="4">
        <v>2.0065748200882445</v>
      </c>
      <c r="Q658" s="4">
        <v>1.4899448384497753</v>
      </c>
      <c r="R658" s="4">
        <f t="shared" si="32"/>
        <v>1.8584318815204015</v>
      </c>
      <c r="S658" s="2">
        <f t="shared" si="33"/>
        <v>0.85843188152040151</v>
      </c>
    </row>
    <row r="659" spans="12:19" x14ac:dyDescent="0.25">
      <c r="L659" s="11">
        <v>645</v>
      </c>
      <c r="M659" s="4">
        <v>0.71294570416042058</v>
      </c>
      <c r="N659" s="4">
        <v>0.935399682905662</v>
      </c>
      <c r="O659" s="4">
        <v>0.95165428313028544</v>
      </c>
      <c r="P659" s="4">
        <v>0.9097597477164634</v>
      </c>
      <c r="Q659" s="4">
        <v>1.010676589836409</v>
      </c>
      <c r="R659" s="4">
        <f t="shared" si="32"/>
        <v>0.90473860841740716</v>
      </c>
      <c r="S659" s="2">
        <f t="shared" si="33"/>
        <v>-9.5261391582592836E-2</v>
      </c>
    </row>
    <row r="660" spans="12:19" x14ac:dyDescent="0.25">
      <c r="L660" s="11">
        <v>646</v>
      </c>
      <c r="M660" s="4">
        <v>2.8397459595764016</v>
      </c>
      <c r="N660" s="4">
        <v>1.640893105930896</v>
      </c>
      <c r="O660" s="4">
        <v>1.7078351845899278</v>
      </c>
      <c r="P660" s="4">
        <v>2.2619211866193192</v>
      </c>
      <c r="Q660" s="4">
        <v>1.4630326629990853</v>
      </c>
      <c r="R660" s="4">
        <f t="shared" si="32"/>
        <v>1.9874914130032828</v>
      </c>
      <c r="S660" s="2">
        <f t="shared" si="33"/>
        <v>0.9874914130032828</v>
      </c>
    </row>
    <row r="661" spans="12:19" x14ac:dyDescent="0.25">
      <c r="L661" s="11">
        <v>647</v>
      </c>
      <c r="M661" s="4">
        <v>0.59616391178598116</v>
      </c>
      <c r="N661" s="4">
        <v>0.75763317428551069</v>
      </c>
      <c r="O661" s="4">
        <v>0.87049765396277523</v>
      </c>
      <c r="P661" s="4">
        <v>0.67866717146803013</v>
      </c>
      <c r="Q661" s="4">
        <v>0.85653578597025148</v>
      </c>
      <c r="R661" s="4">
        <f t="shared" si="32"/>
        <v>0.75577597719755629</v>
      </c>
      <c r="S661" s="2">
        <f t="shared" si="33"/>
        <v>-0.24422402280244371</v>
      </c>
    </row>
    <row r="662" spans="12:19" x14ac:dyDescent="0.25">
      <c r="L662" s="11">
        <v>648</v>
      </c>
      <c r="M662" s="4">
        <v>1.3490005958953177</v>
      </c>
      <c r="N662" s="4">
        <v>1.3169236817428891</v>
      </c>
      <c r="O662" s="4">
        <v>1.223968924025451</v>
      </c>
      <c r="P662" s="4">
        <v>1.2361985479619686</v>
      </c>
      <c r="Q662" s="4">
        <v>1.1298459157054428</v>
      </c>
      <c r="R662" s="4">
        <f t="shared" si="32"/>
        <v>1.2477632173896005</v>
      </c>
      <c r="S662" s="2">
        <f t="shared" si="33"/>
        <v>0.2477632173896005</v>
      </c>
    </row>
    <row r="663" spans="12:19" x14ac:dyDescent="0.25">
      <c r="L663" s="11">
        <v>649</v>
      </c>
      <c r="M663" s="4">
        <v>0.71555991220653814</v>
      </c>
      <c r="N663" s="4">
        <v>0.88827873712826055</v>
      </c>
      <c r="O663" s="4">
        <v>0.9103832026460833</v>
      </c>
      <c r="P663" s="4">
        <v>0.79541823952371604</v>
      </c>
      <c r="Q663" s="4">
        <v>0.91325246260991089</v>
      </c>
      <c r="R663" s="4">
        <f t="shared" si="32"/>
        <v>0.84513035771261824</v>
      </c>
      <c r="S663" s="2">
        <f t="shared" si="33"/>
        <v>-0.15486964228738176</v>
      </c>
    </row>
    <row r="664" spans="12:19" x14ac:dyDescent="0.25">
      <c r="L664" s="11">
        <v>650</v>
      </c>
      <c r="M664" s="4">
        <v>1.1987732567029696</v>
      </c>
      <c r="N664" s="4">
        <v>1.14003697272136</v>
      </c>
      <c r="O664" s="4">
        <v>1.2673674142851314</v>
      </c>
      <c r="P664" s="4">
        <v>1.1672984330550567</v>
      </c>
      <c r="Q664" s="4">
        <v>1.1976165592525838</v>
      </c>
      <c r="R664" s="4">
        <f t="shared" si="32"/>
        <v>1.1990527336152486</v>
      </c>
      <c r="S664" s="2">
        <f t="shared" si="33"/>
        <v>0.19905273361524856</v>
      </c>
    </row>
    <row r="665" spans="12:19" x14ac:dyDescent="0.25">
      <c r="L665" s="11">
        <v>651</v>
      </c>
      <c r="M665" s="4">
        <v>1.4615697455146168</v>
      </c>
      <c r="N665" s="4">
        <v>1.1064307675912117</v>
      </c>
      <c r="O665" s="4">
        <v>1.1828973842590145</v>
      </c>
      <c r="P665" s="4">
        <v>1.2608150685154416</v>
      </c>
      <c r="Q665" s="4">
        <v>1.1572671279615621</v>
      </c>
      <c r="R665" s="4">
        <f t="shared" si="32"/>
        <v>1.2367773821740751</v>
      </c>
      <c r="S665" s="2">
        <f t="shared" si="33"/>
        <v>0.23677738217407507</v>
      </c>
    </row>
    <row r="666" spans="12:19" x14ac:dyDescent="0.25">
      <c r="L666" s="11">
        <v>652</v>
      </c>
      <c r="M666" s="4">
        <v>1.5445314915156698</v>
      </c>
      <c r="N666" s="4">
        <v>1.106535589006667</v>
      </c>
      <c r="O666" s="4">
        <v>1.4208103455538899</v>
      </c>
      <c r="P666" s="4">
        <v>1.2939353888517067</v>
      </c>
      <c r="Q666" s="4">
        <v>1.1989310951806407</v>
      </c>
      <c r="R666" s="4">
        <f t="shared" si="32"/>
        <v>1.32521997101316</v>
      </c>
      <c r="S666" s="2">
        <f t="shared" si="33"/>
        <v>0.32521997101316003</v>
      </c>
    </row>
    <row r="667" spans="12:19" x14ac:dyDescent="0.25">
      <c r="L667" s="11">
        <v>653</v>
      </c>
      <c r="M667" s="4">
        <v>0.65901124532617483</v>
      </c>
      <c r="N667" s="4">
        <v>0.84429199026747381</v>
      </c>
      <c r="O667" s="4">
        <v>0.93293814202489134</v>
      </c>
      <c r="P667" s="4">
        <v>0.81365243789284758</v>
      </c>
      <c r="Q667" s="4">
        <v>0.93394392353262035</v>
      </c>
      <c r="R667" s="4">
        <f t="shared" si="32"/>
        <v>0.84010808487138999</v>
      </c>
      <c r="S667" s="2">
        <f t="shared" si="33"/>
        <v>-0.15989191512861001</v>
      </c>
    </row>
    <row r="668" spans="12:19" x14ac:dyDescent="0.25">
      <c r="L668" s="11">
        <v>654</v>
      </c>
      <c r="M668" s="4">
        <v>2.4055846535253926</v>
      </c>
      <c r="N668" s="4">
        <v>1.5192980624510632</v>
      </c>
      <c r="O668" s="4">
        <v>1.372814960467897</v>
      </c>
      <c r="P668" s="4">
        <v>1.8472744450319045</v>
      </c>
      <c r="Q668" s="4">
        <v>1.3582351166587696</v>
      </c>
      <c r="R668" s="4">
        <f t="shared" si="32"/>
        <v>1.6956495039008255</v>
      </c>
      <c r="S668" s="2">
        <f t="shared" si="33"/>
        <v>0.69564950390082547</v>
      </c>
    </row>
    <row r="669" spans="12:19" x14ac:dyDescent="0.25">
      <c r="L669" s="11">
        <v>655</v>
      </c>
      <c r="M669" s="4">
        <v>1.1448738836870367</v>
      </c>
      <c r="N669" s="4">
        <v>1.0393895309975079</v>
      </c>
      <c r="O669" s="4">
        <v>1.1137935598292408</v>
      </c>
      <c r="P669" s="4">
        <v>1.2059558909268531</v>
      </c>
      <c r="Q669" s="4">
        <v>1.1549016289750871</v>
      </c>
      <c r="R669" s="4">
        <f t="shared" si="32"/>
        <v>1.1350585127509583</v>
      </c>
      <c r="S669" s="2">
        <f t="shared" si="33"/>
        <v>0.13505851275095826</v>
      </c>
    </row>
    <row r="670" spans="12:19" x14ac:dyDescent="0.25">
      <c r="L670" s="11">
        <v>656</v>
      </c>
      <c r="M670" s="4">
        <v>1.8707554493637166</v>
      </c>
      <c r="N670" s="4">
        <v>1.3051066819580583</v>
      </c>
      <c r="O670" s="4">
        <v>1.449589013248447</v>
      </c>
      <c r="P670" s="4">
        <v>1.5463304081601543</v>
      </c>
      <c r="Q670" s="4">
        <v>1.2678875711571886</v>
      </c>
      <c r="R670" s="4">
        <f t="shared" si="32"/>
        <v>1.4941220227896097</v>
      </c>
      <c r="S670" s="2">
        <f t="shared" si="33"/>
        <v>0.49412202278960971</v>
      </c>
    </row>
    <row r="671" spans="12:19" x14ac:dyDescent="0.25">
      <c r="L671" s="11">
        <v>657</v>
      </c>
      <c r="M671" s="4">
        <v>0.91727029309766595</v>
      </c>
      <c r="N671" s="4">
        <v>0.96659753387974945</v>
      </c>
      <c r="O671" s="4">
        <v>1.1722785646976617</v>
      </c>
      <c r="P671" s="4">
        <v>1.017228864534689</v>
      </c>
      <c r="Q671" s="4">
        <v>1.0535070547557825</v>
      </c>
      <c r="R671" s="4">
        <f t="shared" si="32"/>
        <v>1.033608528111688</v>
      </c>
      <c r="S671" s="2">
        <f t="shared" si="33"/>
        <v>3.3608528111688019E-2</v>
      </c>
    </row>
    <row r="672" spans="12:19" x14ac:dyDescent="0.25">
      <c r="L672" s="11">
        <v>658</v>
      </c>
      <c r="M672" s="4">
        <v>0.96574384811113823</v>
      </c>
      <c r="N672" s="4">
        <v>1.1720874476671301</v>
      </c>
      <c r="O672" s="4">
        <v>1.0005068633310246</v>
      </c>
      <c r="P672" s="4">
        <v>0.94829595164895963</v>
      </c>
      <c r="Q672" s="4">
        <v>1.0147144342324546</v>
      </c>
      <c r="R672" s="4">
        <f t="shared" si="32"/>
        <v>1.0131846880411175</v>
      </c>
      <c r="S672" s="2">
        <f t="shared" si="33"/>
        <v>1.3184688041117498E-2</v>
      </c>
    </row>
    <row r="673" spans="12:19" x14ac:dyDescent="0.25">
      <c r="L673" s="11">
        <v>659</v>
      </c>
      <c r="M673" s="4">
        <v>1.5140602267619951</v>
      </c>
      <c r="N673" s="4">
        <v>1.1346966482143843</v>
      </c>
      <c r="O673" s="4">
        <v>1.2643995165153785</v>
      </c>
      <c r="P673" s="4">
        <v>1.3299201228237694</v>
      </c>
      <c r="Q673" s="4">
        <v>1.1968772744459892</v>
      </c>
      <c r="R673" s="4">
        <f t="shared" si="32"/>
        <v>1.2932539254738504</v>
      </c>
      <c r="S673" s="2">
        <f t="shared" si="33"/>
        <v>0.29325392547385043</v>
      </c>
    </row>
    <row r="674" spans="12:19" x14ac:dyDescent="0.25">
      <c r="L674" s="11">
        <v>660</v>
      </c>
      <c r="M674" s="4">
        <v>0.96129029521415643</v>
      </c>
      <c r="N674" s="4">
        <v>0.98285693807683994</v>
      </c>
      <c r="O674" s="4">
        <v>1.0868205491431999</v>
      </c>
      <c r="P674" s="4">
        <v>0.99153149332996904</v>
      </c>
      <c r="Q674" s="4">
        <v>1.0197678389955604</v>
      </c>
      <c r="R674" s="4">
        <f t="shared" si="32"/>
        <v>1.012525803855914</v>
      </c>
      <c r="S674" s="2">
        <f t="shared" si="33"/>
        <v>1.2525803855913953E-2</v>
      </c>
    </row>
    <row r="675" spans="12:19" x14ac:dyDescent="0.25">
      <c r="L675" s="11">
        <v>661</v>
      </c>
      <c r="M675" s="4">
        <v>3.2723704938475953</v>
      </c>
      <c r="N675" s="4">
        <v>1.6365490782697691</v>
      </c>
      <c r="O675" s="4">
        <v>1.8050843227472864</v>
      </c>
      <c r="P675" s="4">
        <v>2.0891415405761946</v>
      </c>
      <c r="Q675" s="4">
        <v>1.5725279829543346</v>
      </c>
      <c r="R675" s="4">
        <f t="shared" si="32"/>
        <v>2.0812426907176231</v>
      </c>
      <c r="S675" s="2">
        <f t="shared" si="33"/>
        <v>1.0812426907176231</v>
      </c>
    </row>
    <row r="676" spans="12:19" x14ac:dyDescent="0.25">
      <c r="L676" s="11">
        <v>662</v>
      </c>
      <c r="M676" s="4">
        <v>0.83052888165674388</v>
      </c>
      <c r="N676" s="4">
        <v>1.1397962429318553</v>
      </c>
      <c r="O676" s="4">
        <v>1.039629884255177</v>
      </c>
      <c r="P676" s="4">
        <v>0.9170162253362304</v>
      </c>
      <c r="Q676" s="4">
        <v>0.98196883643136212</v>
      </c>
      <c r="R676" s="4">
        <f t="shared" si="32"/>
        <v>0.97780447022929762</v>
      </c>
      <c r="S676" s="2">
        <f t="shared" si="33"/>
        <v>-2.2195529770702382E-2</v>
      </c>
    </row>
    <row r="677" spans="12:19" x14ac:dyDescent="0.25">
      <c r="L677" s="11">
        <v>663</v>
      </c>
      <c r="M677" s="4">
        <v>1.8078428410851661</v>
      </c>
      <c r="N677" s="4">
        <v>1.2989363487537455</v>
      </c>
      <c r="O677" s="4">
        <v>1.2355325802360961</v>
      </c>
      <c r="P677" s="4">
        <v>1.4888013998138043</v>
      </c>
      <c r="Q677" s="4">
        <v>1.2355300480059836</v>
      </c>
      <c r="R677" s="4">
        <f t="shared" si="32"/>
        <v>1.4111573367940751</v>
      </c>
      <c r="S677" s="2">
        <f t="shared" si="33"/>
        <v>0.41115733679407507</v>
      </c>
    </row>
    <row r="678" spans="12:19" x14ac:dyDescent="0.25">
      <c r="L678" s="11">
        <v>664</v>
      </c>
      <c r="M678" s="4">
        <v>1.6964847776884882</v>
      </c>
      <c r="N678" s="4">
        <v>1.3757027370662465</v>
      </c>
      <c r="O678" s="4">
        <v>1.3857327104681212</v>
      </c>
      <c r="P678" s="4">
        <v>1.4697642220157359</v>
      </c>
      <c r="Q678" s="4">
        <v>1.2735383294735547</v>
      </c>
      <c r="R678" s="4">
        <f t="shared" si="32"/>
        <v>1.4409922460580236</v>
      </c>
      <c r="S678" s="2">
        <f t="shared" si="33"/>
        <v>0.44099224605802356</v>
      </c>
    </row>
    <row r="679" spans="12:19" x14ac:dyDescent="0.25">
      <c r="L679" s="11">
        <v>665</v>
      </c>
      <c r="M679" s="4">
        <v>0.6174587334536199</v>
      </c>
      <c r="N679" s="4">
        <v>0.81056996915983759</v>
      </c>
      <c r="O679" s="4">
        <v>0.93236184775614139</v>
      </c>
      <c r="P679" s="4">
        <v>0.74236216269451649</v>
      </c>
      <c r="Q679" s="4">
        <v>0.8891913854458221</v>
      </c>
      <c r="R679" s="4">
        <f t="shared" si="32"/>
        <v>0.8028673757225252</v>
      </c>
      <c r="S679" s="2">
        <f t="shared" si="33"/>
        <v>-0.1971326242774748</v>
      </c>
    </row>
    <row r="680" spans="12:19" x14ac:dyDescent="0.25">
      <c r="L680" s="11">
        <v>666</v>
      </c>
      <c r="M680" s="4">
        <v>2.6975966614249676</v>
      </c>
      <c r="N680" s="4">
        <v>1.5060150637458385</v>
      </c>
      <c r="O680" s="4">
        <v>1.5659526674555702</v>
      </c>
      <c r="P680" s="4">
        <v>2.0656151684166386</v>
      </c>
      <c r="Q680" s="4">
        <v>1.4188683258159984</v>
      </c>
      <c r="R680" s="4">
        <f t="shared" si="32"/>
        <v>1.8545037580603796</v>
      </c>
      <c r="S680" s="2">
        <f t="shared" si="33"/>
        <v>0.85450375806037959</v>
      </c>
    </row>
    <row r="681" spans="12:19" x14ac:dyDescent="0.25">
      <c r="L681" s="11">
        <v>667</v>
      </c>
      <c r="M681" s="4">
        <v>1.4899367478859074</v>
      </c>
      <c r="N681" s="4">
        <v>1.2414668898781338</v>
      </c>
      <c r="O681" s="4">
        <v>1.3154691161426484</v>
      </c>
      <c r="P681" s="4">
        <v>1.3887477043341816</v>
      </c>
      <c r="Q681" s="4">
        <v>1.1844396295509194</v>
      </c>
      <c r="R681" s="4">
        <f t="shared" si="32"/>
        <v>1.3276240144162506</v>
      </c>
      <c r="S681" s="2">
        <f t="shared" si="33"/>
        <v>0.32762401441625055</v>
      </c>
    </row>
    <row r="682" spans="12:19" x14ac:dyDescent="0.25">
      <c r="L682" s="11">
        <v>668</v>
      </c>
      <c r="M682" s="4">
        <v>1.8396667156106914</v>
      </c>
      <c r="N682" s="4">
        <v>1.225877565209385</v>
      </c>
      <c r="O682" s="4">
        <v>1.2109359727119473</v>
      </c>
      <c r="P682" s="4">
        <v>1.4448797181013888</v>
      </c>
      <c r="Q682" s="4">
        <v>1.2330277443214406</v>
      </c>
      <c r="R682" s="4">
        <f t="shared" si="32"/>
        <v>1.3902390961657647</v>
      </c>
      <c r="S682" s="2">
        <f t="shared" si="33"/>
        <v>0.39023909616576469</v>
      </c>
    </row>
    <row r="683" spans="12:19" x14ac:dyDescent="0.25">
      <c r="L683" s="11">
        <v>669</v>
      </c>
      <c r="M683" s="4">
        <v>0.6951025303351126</v>
      </c>
      <c r="N683" s="4">
        <v>0.92222054489154748</v>
      </c>
      <c r="O683" s="4">
        <v>0.98059546710745582</v>
      </c>
      <c r="P683" s="4">
        <v>0.85211126612827548</v>
      </c>
      <c r="Q683" s="4">
        <v>0.98063982430288432</v>
      </c>
      <c r="R683" s="4">
        <f t="shared" si="32"/>
        <v>0.88825439595500089</v>
      </c>
      <c r="S683" s="2">
        <f t="shared" si="33"/>
        <v>-0.11174560404499911</v>
      </c>
    </row>
    <row r="684" spans="12:19" x14ac:dyDescent="0.25">
      <c r="L684" s="11">
        <v>670</v>
      </c>
      <c r="M684" s="4">
        <v>1.2980226726269537</v>
      </c>
      <c r="N684" s="4">
        <v>1.1942596072208658</v>
      </c>
      <c r="O684" s="4">
        <v>1.3450555189265205</v>
      </c>
      <c r="P684" s="4">
        <v>1.2487229825835526</v>
      </c>
      <c r="Q684" s="4">
        <v>1.1420814693771326</v>
      </c>
      <c r="R684" s="4">
        <f t="shared" si="32"/>
        <v>1.2519986514759243</v>
      </c>
      <c r="S684" s="2">
        <f t="shared" si="33"/>
        <v>0.25199865147592426</v>
      </c>
    </row>
    <row r="685" spans="12:19" x14ac:dyDescent="0.25">
      <c r="L685" s="11">
        <v>671</v>
      </c>
      <c r="M685" s="4">
        <v>1.8323282969424874</v>
      </c>
      <c r="N685" s="4">
        <v>1.1330332595871437</v>
      </c>
      <c r="O685" s="4">
        <v>1.4014794931575683</v>
      </c>
      <c r="P685" s="4">
        <v>1.4999648846408149</v>
      </c>
      <c r="Q685" s="4">
        <v>1.2827620632365058</v>
      </c>
      <c r="R685" s="4">
        <f t="shared" si="32"/>
        <v>1.4406632790903466</v>
      </c>
      <c r="S685" s="2">
        <f t="shared" si="33"/>
        <v>0.44066327909034664</v>
      </c>
    </row>
    <row r="686" spans="12:19" x14ac:dyDescent="0.25">
      <c r="L686" s="11">
        <v>672</v>
      </c>
      <c r="M686" s="4">
        <v>1.4119596496329345</v>
      </c>
      <c r="N686" s="4">
        <v>1.1916944688179443</v>
      </c>
      <c r="O686" s="4">
        <v>1.1625803569498916</v>
      </c>
      <c r="P686" s="4">
        <v>1.3794273899590401</v>
      </c>
      <c r="Q686" s="4">
        <v>1.2116245208265868</v>
      </c>
      <c r="R686" s="4">
        <f t="shared" si="32"/>
        <v>1.2709356598625114</v>
      </c>
      <c r="S686" s="2">
        <f t="shared" si="33"/>
        <v>0.27093565986251145</v>
      </c>
    </row>
    <row r="687" spans="12:19" x14ac:dyDescent="0.25">
      <c r="L687" s="11">
        <v>673</v>
      </c>
      <c r="M687" s="4">
        <v>0.82619742003993024</v>
      </c>
      <c r="N687" s="4">
        <v>1.250802112953967</v>
      </c>
      <c r="O687" s="4">
        <v>1.0203795414785759</v>
      </c>
      <c r="P687" s="4">
        <v>0.97339365012468848</v>
      </c>
      <c r="Q687" s="4">
        <v>1.0341553919222692</v>
      </c>
      <c r="R687" s="4">
        <f t="shared" si="32"/>
        <v>1.0120098074086645</v>
      </c>
      <c r="S687" s="2">
        <f t="shared" si="33"/>
        <v>1.200980740866453E-2</v>
      </c>
    </row>
    <row r="688" spans="12:19" x14ac:dyDescent="0.25">
      <c r="L688" s="11">
        <v>674</v>
      </c>
      <c r="M688" s="4">
        <v>3.4035031000263052</v>
      </c>
      <c r="N688" s="4">
        <v>1.7534615231814401</v>
      </c>
      <c r="O688" s="4">
        <v>2.0279920546024437</v>
      </c>
      <c r="P688" s="4">
        <v>2.5137598211083843</v>
      </c>
      <c r="Q688" s="4">
        <v>1.6069213803008597</v>
      </c>
      <c r="R688" s="4">
        <f t="shared" si="32"/>
        <v>2.2738939127290188</v>
      </c>
      <c r="S688" s="2">
        <f t="shared" si="33"/>
        <v>1.2738939127290188</v>
      </c>
    </row>
    <row r="689" spans="12:19" x14ac:dyDescent="0.25">
      <c r="L689" s="11">
        <v>675</v>
      </c>
      <c r="M689" s="4">
        <v>1.3783036762552394</v>
      </c>
      <c r="N689" s="4">
        <v>1.3657830106933591</v>
      </c>
      <c r="O689" s="4">
        <v>1.1187623376224112</v>
      </c>
      <c r="P689" s="4">
        <v>1.3190816476723626</v>
      </c>
      <c r="Q689" s="4">
        <v>1.1322298204849777</v>
      </c>
      <c r="R689" s="4">
        <f t="shared" si="32"/>
        <v>1.2537744978258751</v>
      </c>
      <c r="S689" s="2">
        <f t="shared" si="33"/>
        <v>0.25377449782587513</v>
      </c>
    </row>
    <row r="690" spans="12:19" x14ac:dyDescent="0.25">
      <c r="L690" s="11">
        <v>676</v>
      </c>
      <c r="M690" s="4">
        <v>2.559696092292052</v>
      </c>
      <c r="N690" s="4">
        <v>1.5105037134579504</v>
      </c>
      <c r="O690" s="4">
        <v>1.4079592951018631</v>
      </c>
      <c r="P690" s="4">
        <v>1.9796965469642043</v>
      </c>
      <c r="Q690" s="4">
        <v>1.4228460698650243</v>
      </c>
      <c r="R690" s="4">
        <f t="shared" si="32"/>
        <v>1.7731032536380393</v>
      </c>
      <c r="S690" s="2">
        <f t="shared" si="33"/>
        <v>0.77310325363803933</v>
      </c>
    </row>
    <row r="691" spans="12:19" x14ac:dyDescent="0.25">
      <c r="L691" s="11">
        <v>677</v>
      </c>
      <c r="M691" s="4">
        <v>2.1101081631526974</v>
      </c>
      <c r="N691" s="4">
        <v>1.4780705652987938</v>
      </c>
      <c r="O691" s="4">
        <v>1.389933002804089</v>
      </c>
      <c r="P691" s="4">
        <v>1.6843140092652271</v>
      </c>
      <c r="Q691" s="4">
        <v>1.3432344253127182</v>
      </c>
      <c r="R691" s="4">
        <f t="shared" si="32"/>
        <v>1.5981314186696072</v>
      </c>
      <c r="S691" s="2">
        <f t="shared" si="33"/>
        <v>0.59813141866960717</v>
      </c>
    </row>
    <row r="692" spans="12:19" x14ac:dyDescent="0.25">
      <c r="L692" s="11">
        <v>678</v>
      </c>
      <c r="M692" s="4">
        <v>1.5656400251497384</v>
      </c>
      <c r="N692" s="4">
        <v>1.2132596347684692</v>
      </c>
      <c r="O692" s="4">
        <v>1.2410506021377639</v>
      </c>
      <c r="P692" s="4">
        <v>1.4078436108355954</v>
      </c>
      <c r="Q692" s="4">
        <v>1.1909977619840597</v>
      </c>
      <c r="R692" s="4">
        <f t="shared" si="32"/>
        <v>1.325431016175916</v>
      </c>
      <c r="S692" s="2">
        <f t="shared" si="33"/>
        <v>0.32543101617591597</v>
      </c>
    </row>
    <row r="693" spans="12:19" x14ac:dyDescent="0.25">
      <c r="L693" s="11">
        <v>679</v>
      </c>
      <c r="M693" s="4">
        <v>2.4588336891381255</v>
      </c>
      <c r="N693" s="4">
        <v>1.5604824540335485</v>
      </c>
      <c r="O693" s="4">
        <v>1.5014381290137646</v>
      </c>
      <c r="P693" s="4">
        <v>1.8801648494458258</v>
      </c>
      <c r="Q693" s="4">
        <v>1.3859905444641534</v>
      </c>
      <c r="R693" s="4">
        <f t="shared" si="32"/>
        <v>1.7558503579269074</v>
      </c>
      <c r="S693" s="2">
        <f t="shared" si="33"/>
        <v>0.75585035792690736</v>
      </c>
    </row>
    <row r="694" spans="12:19" x14ac:dyDescent="0.25">
      <c r="L694" s="11">
        <v>680</v>
      </c>
      <c r="M694" s="4">
        <v>2.5046564763903758</v>
      </c>
      <c r="N694" s="4">
        <v>1.2868110060249329</v>
      </c>
      <c r="O694" s="4">
        <v>1.5547520368712944</v>
      </c>
      <c r="P694" s="4">
        <v>1.8576320040455587</v>
      </c>
      <c r="Q694" s="4">
        <v>1.3683709286315029</v>
      </c>
      <c r="R694" s="4">
        <f t="shared" si="32"/>
        <v>1.7256210934595764</v>
      </c>
      <c r="S694" s="2">
        <f t="shared" si="33"/>
        <v>0.72562109345957637</v>
      </c>
    </row>
    <row r="695" spans="12:19" x14ac:dyDescent="0.25">
      <c r="L695" s="11">
        <v>681</v>
      </c>
      <c r="M695" s="4">
        <v>2.080494423635217</v>
      </c>
      <c r="N695" s="4">
        <v>1.2981576857523556</v>
      </c>
      <c r="O695" s="4">
        <v>1.477524133699107</v>
      </c>
      <c r="P695" s="4">
        <v>1.685708259210132</v>
      </c>
      <c r="Q695" s="4">
        <v>1.3210077476315545</v>
      </c>
      <c r="R695" s="4">
        <f t="shared" si="32"/>
        <v>1.5803292786723762</v>
      </c>
      <c r="S695" s="2">
        <f t="shared" si="33"/>
        <v>0.58032927867237616</v>
      </c>
    </row>
    <row r="696" spans="12:19" x14ac:dyDescent="0.25">
      <c r="L696" s="11">
        <v>682</v>
      </c>
      <c r="M696" s="4">
        <v>1.4614704344051712</v>
      </c>
      <c r="N696" s="4">
        <v>1.1022310007803884</v>
      </c>
      <c r="O696" s="4">
        <v>1.2591875847394516</v>
      </c>
      <c r="P696" s="4">
        <v>1.3331261632508584</v>
      </c>
      <c r="Q696" s="4">
        <v>1.1516784593561438</v>
      </c>
      <c r="R696" s="4">
        <f t="shared" si="32"/>
        <v>1.2682375631208838</v>
      </c>
      <c r="S696" s="2">
        <f t="shared" si="33"/>
        <v>0.26823756312088376</v>
      </c>
    </row>
    <row r="697" spans="12:19" x14ac:dyDescent="0.25">
      <c r="L697" s="11">
        <v>683</v>
      </c>
      <c r="M697" s="4">
        <v>0.91818126408193113</v>
      </c>
      <c r="N697" s="4">
        <v>0.93621337542788219</v>
      </c>
      <c r="O697" s="4">
        <v>1.0524796319383041</v>
      </c>
      <c r="P697" s="4">
        <v>0.974162755622765</v>
      </c>
      <c r="Q697" s="4">
        <v>0.9928812014906393</v>
      </c>
      <c r="R697" s="4">
        <f t="shared" si="32"/>
        <v>0.97943988198020238</v>
      </c>
      <c r="S697" s="2">
        <f t="shared" si="33"/>
        <v>-2.0560118019797624E-2</v>
      </c>
    </row>
    <row r="698" spans="12:19" x14ac:dyDescent="0.25">
      <c r="L698" s="11">
        <v>684</v>
      </c>
      <c r="M698" s="4">
        <v>2.1345676617140219</v>
      </c>
      <c r="N698" s="4">
        <v>1.2799621489014934</v>
      </c>
      <c r="O698" s="4">
        <v>1.2385424492623696</v>
      </c>
      <c r="P698" s="4">
        <v>1.682846187040056</v>
      </c>
      <c r="Q698" s="4">
        <v>1.3126921580845792</v>
      </c>
      <c r="R698" s="4">
        <f t="shared" si="32"/>
        <v>1.5285640731352592</v>
      </c>
      <c r="S698" s="2">
        <f t="shared" si="33"/>
        <v>0.52856407313525922</v>
      </c>
    </row>
    <row r="699" spans="12:19" x14ac:dyDescent="0.25">
      <c r="L699" s="11">
        <v>685</v>
      </c>
      <c r="M699" s="4">
        <v>1.6005149882074519</v>
      </c>
      <c r="N699" s="4">
        <v>1.2951437260896139</v>
      </c>
      <c r="O699" s="4">
        <v>1.240454128590764</v>
      </c>
      <c r="P699" s="4">
        <v>1.4052519693307239</v>
      </c>
      <c r="Q699" s="4">
        <v>1.2150664612506661</v>
      </c>
      <c r="R699" s="4">
        <f t="shared" si="32"/>
        <v>1.3494968857212162</v>
      </c>
      <c r="S699" s="2">
        <f t="shared" si="33"/>
        <v>0.34949688572121618</v>
      </c>
    </row>
    <row r="700" spans="12:19" x14ac:dyDescent="0.25">
      <c r="L700" s="11">
        <v>686</v>
      </c>
      <c r="M700" s="4">
        <v>1.7750920094387885</v>
      </c>
      <c r="N700" s="4">
        <v>1.1092969167042692</v>
      </c>
      <c r="O700" s="4">
        <v>1.4085895471530832</v>
      </c>
      <c r="P700" s="4">
        <v>1.5652900921230357</v>
      </c>
      <c r="Q700" s="4">
        <v>1.2603489623778492</v>
      </c>
      <c r="R700" s="4">
        <f t="shared" si="32"/>
        <v>1.4363770498033728</v>
      </c>
      <c r="S700" s="2">
        <f t="shared" si="33"/>
        <v>0.43637704980337277</v>
      </c>
    </row>
    <row r="701" spans="12:19" x14ac:dyDescent="0.25">
      <c r="L701" s="11">
        <v>687</v>
      </c>
      <c r="M701" s="4">
        <v>1.0129850735003267</v>
      </c>
      <c r="N701" s="4">
        <v>0.98277985731549511</v>
      </c>
      <c r="O701" s="4">
        <v>1.1682996404978161</v>
      </c>
      <c r="P701" s="4">
        <v>1.0126542045902167</v>
      </c>
      <c r="Q701" s="4">
        <v>1.0194634465964276</v>
      </c>
      <c r="R701" s="4">
        <f t="shared" si="32"/>
        <v>1.0465744000301571</v>
      </c>
      <c r="S701" s="2">
        <f t="shared" si="33"/>
        <v>4.6574400030157115E-2</v>
      </c>
    </row>
    <row r="702" spans="12:19" x14ac:dyDescent="0.25">
      <c r="L702" s="11">
        <v>688</v>
      </c>
      <c r="M702" s="4">
        <v>1.5472553544051868</v>
      </c>
      <c r="N702" s="4">
        <v>1.2162312453163588</v>
      </c>
      <c r="O702" s="4">
        <v>1.2565425886484047</v>
      </c>
      <c r="P702" s="4">
        <v>1.3646639487080774</v>
      </c>
      <c r="Q702" s="4">
        <v>1.1882345784483013</v>
      </c>
      <c r="R702" s="4">
        <f t="shared" si="32"/>
        <v>1.3165245363707718</v>
      </c>
      <c r="S702" s="2">
        <f t="shared" si="33"/>
        <v>0.31652453637077183</v>
      </c>
    </row>
    <row r="703" spans="12:19" x14ac:dyDescent="0.25">
      <c r="L703" s="11">
        <v>689</v>
      </c>
      <c r="M703" s="4">
        <v>1.0292479333362226</v>
      </c>
      <c r="N703" s="4">
        <v>1.0163753684947574</v>
      </c>
      <c r="O703" s="4">
        <v>1.1390885540417777</v>
      </c>
      <c r="P703" s="4">
        <v>1.0122232286962685</v>
      </c>
      <c r="Q703" s="4">
        <v>1.0566467020020278</v>
      </c>
      <c r="R703" s="4">
        <f t="shared" si="32"/>
        <v>1.0553490356217448</v>
      </c>
      <c r="S703" s="2">
        <f t="shared" si="33"/>
        <v>5.5349035621744758E-2</v>
      </c>
    </row>
    <row r="704" spans="12:19" x14ac:dyDescent="0.25">
      <c r="L704" s="11">
        <v>690</v>
      </c>
      <c r="M704" s="4">
        <v>2.9042800696086948</v>
      </c>
      <c r="N704" s="4">
        <v>1.9468118051108758</v>
      </c>
      <c r="O704" s="4">
        <v>1.5540998099513088</v>
      </c>
      <c r="P704" s="4">
        <v>2.1352624542388665</v>
      </c>
      <c r="Q704" s="4">
        <v>1.4870945278168484</v>
      </c>
      <c r="R704" s="4">
        <f t="shared" si="32"/>
        <v>1.9910359464960496</v>
      </c>
      <c r="S704" s="2">
        <f t="shared" si="33"/>
        <v>0.99103594649604965</v>
      </c>
    </row>
    <row r="705" spans="12:19" x14ac:dyDescent="0.25">
      <c r="L705" s="11">
        <v>691</v>
      </c>
      <c r="M705" s="4">
        <v>1.4704021698074019</v>
      </c>
      <c r="N705" s="4">
        <v>1.1201302787950547</v>
      </c>
      <c r="O705" s="4">
        <v>1.281338900760099</v>
      </c>
      <c r="P705" s="4">
        <v>1.3133853379228877</v>
      </c>
      <c r="Q705" s="4">
        <v>1.191542209700059</v>
      </c>
      <c r="R705" s="4">
        <f t="shared" si="32"/>
        <v>1.2818900832115194</v>
      </c>
      <c r="S705" s="2">
        <f t="shared" si="33"/>
        <v>0.28189008321151943</v>
      </c>
    </row>
    <row r="706" spans="12:19" x14ac:dyDescent="0.25">
      <c r="L706" s="11">
        <v>692</v>
      </c>
      <c r="M706" s="4">
        <v>1.2226353730347961</v>
      </c>
      <c r="N706" s="4">
        <v>1.1158570206439551</v>
      </c>
      <c r="O706" s="4">
        <v>1.1312346214570395</v>
      </c>
      <c r="P706" s="4">
        <v>1.2107648021706261</v>
      </c>
      <c r="Q706" s="4">
        <v>1.1066961502611217</v>
      </c>
      <c r="R706" s="4">
        <f t="shared" si="32"/>
        <v>1.1584755670860236</v>
      </c>
      <c r="S706" s="2">
        <f t="shared" si="33"/>
        <v>0.15847556708602362</v>
      </c>
    </row>
    <row r="707" spans="12:19" x14ac:dyDescent="0.25">
      <c r="L707" s="11">
        <v>693</v>
      </c>
      <c r="M707" s="4">
        <v>0.5518957870026493</v>
      </c>
      <c r="N707" s="4">
        <v>0.76571633466911648</v>
      </c>
      <c r="O707" s="4">
        <v>0.90400035162780712</v>
      </c>
      <c r="P707" s="4">
        <v>0.66959888025902126</v>
      </c>
      <c r="Q707" s="4">
        <v>0.84611438161321895</v>
      </c>
      <c r="R707" s="4">
        <f t="shared" si="32"/>
        <v>0.75245357302949734</v>
      </c>
      <c r="S707" s="2">
        <f t="shared" si="33"/>
        <v>-0.24754642697050266</v>
      </c>
    </row>
    <row r="708" spans="12:19" x14ac:dyDescent="0.25">
      <c r="L708" s="11">
        <v>694</v>
      </c>
      <c r="M708" s="4">
        <v>0.90944595529532724</v>
      </c>
      <c r="N708" s="4">
        <v>1.0662754474146694</v>
      </c>
      <c r="O708" s="4">
        <v>0.99621265518312652</v>
      </c>
      <c r="P708" s="4">
        <v>0.92422649834054982</v>
      </c>
      <c r="Q708" s="4">
        <v>0.98308748254828493</v>
      </c>
      <c r="R708" s="4">
        <f t="shared" si="32"/>
        <v>0.97288137975841238</v>
      </c>
      <c r="S708" s="2">
        <f t="shared" si="33"/>
        <v>-2.7118620241587621E-2</v>
      </c>
    </row>
    <row r="709" spans="12:19" x14ac:dyDescent="0.25">
      <c r="L709" s="11">
        <v>695</v>
      </c>
      <c r="M709" s="4">
        <v>2.0676408562820763</v>
      </c>
      <c r="N709" s="4">
        <v>1.2340178743957957</v>
      </c>
      <c r="O709" s="4">
        <v>1.3823416831336111</v>
      </c>
      <c r="P709" s="4">
        <v>1.6540026272630819</v>
      </c>
      <c r="Q709" s="4">
        <v>1.3135783347717609</v>
      </c>
      <c r="R709" s="4">
        <f t="shared" si="32"/>
        <v>1.536653406365069</v>
      </c>
      <c r="S709" s="2">
        <f t="shared" si="33"/>
        <v>0.53665340636506897</v>
      </c>
    </row>
    <row r="710" spans="12:19" x14ac:dyDescent="0.25">
      <c r="L710" s="11">
        <v>696</v>
      </c>
      <c r="M710" s="4">
        <v>0.70884593582911037</v>
      </c>
      <c r="N710" s="4">
        <v>1.0724823508330825</v>
      </c>
      <c r="O710" s="4">
        <v>0.92592247314310816</v>
      </c>
      <c r="P710" s="4">
        <v>0.76393059593690216</v>
      </c>
      <c r="Q710" s="4">
        <v>0.94572362595381632</v>
      </c>
      <c r="R710" s="4">
        <f t="shared" si="32"/>
        <v>0.87695410903025839</v>
      </c>
      <c r="S710" s="2">
        <f t="shared" si="33"/>
        <v>-0.12304589096974161</v>
      </c>
    </row>
    <row r="711" spans="12:19" x14ac:dyDescent="0.25">
      <c r="L711" s="11">
        <v>697</v>
      </c>
      <c r="M711" s="4">
        <v>0.66743133343258354</v>
      </c>
      <c r="N711" s="4">
        <v>0.79808630993730989</v>
      </c>
      <c r="O711" s="4">
        <v>1.0666205596360971</v>
      </c>
      <c r="P711" s="4">
        <v>0.84348077861440918</v>
      </c>
      <c r="Q711" s="4">
        <v>0.9562880111382055</v>
      </c>
      <c r="R711" s="4">
        <f t="shared" si="32"/>
        <v>0.87693491868844808</v>
      </c>
      <c r="S711" s="2">
        <f t="shared" si="33"/>
        <v>-0.12306508131155192</v>
      </c>
    </row>
    <row r="712" spans="12:19" x14ac:dyDescent="0.25">
      <c r="L712" s="11">
        <v>698</v>
      </c>
      <c r="M712" s="4">
        <v>1.4186512158271385</v>
      </c>
      <c r="N712" s="4">
        <v>1.3086801567464634</v>
      </c>
      <c r="O712" s="4">
        <v>1.2420032235383478</v>
      </c>
      <c r="P712" s="4">
        <v>1.3386060107076925</v>
      </c>
      <c r="Q712" s="4">
        <v>1.1823717334324335</v>
      </c>
      <c r="R712" s="4">
        <f t="shared" si="32"/>
        <v>1.295950322688858</v>
      </c>
      <c r="S712" s="2">
        <f t="shared" si="33"/>
        <v>0.29595032268885801</v>
      </c>
    </row>
    <row r="713" spans="12:19" x14ac:dyDescent="0.25">
      <c r="L713" s="11">
        <v>699</v>
      </c>
      <c r="M713" s="4">
        <v>1.5627450109283421</v>
      </c>
      <c r="N713" s="4">
        <v>1.3171609608469004</v>
      </c>
      <c r="O713" s="4">
        <v>1.2448162250634969</v>
      </c>
      <c r="P713" s="4">
        <v>1.3571152270318907</v>
      </c>
      <c r="Q713" s="4">
        <v>1.1830493550369749</v>
      </c>
      <c r="R713" s="4">
        <f t="shared" si="32"/>
        <v>1.3304161555629785</v>
      </c>
      <c r="S713" s="2">
        <f t="shared" si="33"/>
        <v>0.33041615556297854</v>
      </c>
    </row>
    <row r="714" spans="12:19" x14ac:dyDescent="0.25">
      <c r="L714" s="11">
        <v>700</v>
      </c>
      <c r="M714" s="4">
        <v>2.5277858305547807</v>
      </c>
      <c r="N714" s="4">
        <v>1.8032730139395809</v>
      </c>
      <c r="O714" s="4">
        <v>1.5698840050870193</v>
      </c>
      <c r="P714" s="4">
        <v>2.1556077439146248</v>
      </c>
      <c r="Q714" s="4">
        <v>1.5095349836990577</v>
      </c>
      <c r="R714" s="4">
        <f t="shared" si="32"/>
        <v>1.90595911499718</v>
      </c>
      <c r="S714" s="2">
        <f t="shared" si="33"/>
        <v>0.90595911499717996</v>
      </c>
    </row>
    <row r="715" spans="12:19" x14ac:dyDescent="0.25">
      <c r="L715" s="11">
        <v>701</v>
      </c>
      <c r="M715" s="4">
        <v>0.78482280133002591</v>
      </c>
      <c r="N715" s="4">
        <v>1.043024077707569</v>
      </c>
      <c r="O715" s="4">
        <v>0.99521707398254977</v>
      </c>
      <c r="P715" s="4">
        <v>0.95662355432770596</v>
      </c>
      <c r="Q715" s="4">
        <v>0.99085582479772971</v>
      </c>
      <c r="R715" s="4">
        <f t="shared" si="32"/>
        <v>0.95249858644084551</v>
      </c>
      <c r="S715" s="2">
        <f t="shared" si="33"/>
        <v>-4.7501413559154493E-2</v>
      </c>
    </row>
    <row r="716" spans="12:19" x14ac:dyDescent="0.25">
      <c r="L716" s="11">
        <v>702</v>
      </c>
      <c r="M716" s="4">
        <v>1.8320411402064767</v>
      </c>
      <c r="N716" s="4">
        <v>1.3799562908390495</v>
      </c>
      <c r="O716" s="4">
        <v>1.2505404065801964</v>
      </c>
      <c r="P716" s="4">
        <v>1.5417120281078087</v>
      </c>
      <c r="Q716" s="4">
        <v>1.2576834514783743</v>
      </c>
      <c r="R716" s="4">
        <f t="shared" si="32"/>
        <v>1.4478181349953285</v>
      </c>
      <c r="S716" s="2">
        <f t="shared" si="33"/>
        <v>0.44781813499532852</v>
      </c>
    </row>
    <row r="717" spans="12:19" x14ac:dyDescent="0.25">
      <c r="L717" s="11">
        <v>703</v>
      </c>
      <c r="M717" s="4">
        <v>1.3114718061104391</v>
      </c>
      <c r="N717" s="4">
        <v>1.0593375252134785</v>
      </c>
      <c r="O717" s="4">
        <v>1.2241248541846499</v>
      </c>
      <c r="P717" s="4">
        <v>1.1930877154895236</v>
      </c>
      <c r="Q717" s="4">
        <v>1.1465597487003776</v>
      </c>
      <c r="R717" s="4">
        <f t="shared" si="32"/>
        <v>1.1933493642211861</v>
      </c>
      <c r="S717" s="2">
        <f t="shared" si="33"/>
        <v>0.19334936422118609</v>
      </c>
    </row>
    <row r="718" spans="12:19" x14ac:dyDescent="0.25">
      <c r="L718" s="11">
        <v>704</v>
      </c>
      <c r="M718" s="4">
        <v>1.7252362627322433</v>
      </c>
      <c r="N718" s="4">
        <v>1.2812268574268517</v>
      </c>
      <c r="O718" s="4">
        <v>1.227892645795603</v>
      </c>
      <c r="P718" s="4">
        <v>1.498671946408358</v>
      </c>
      <c r="Q718" s="4">
        <v>1.2662826683552604</v>
      </c>
      <c r="R718" s="4">
        <f t="shared" si="32"/>
        <v>1.3982021749771838</v>
      </c>
      <c r="S718" s="2">
        <f t="shared" si="33"/>
        <v>0.3982021749771838</v>
      </c>
    </row>
    <row r="719" spans="12:19" x14ac:dyDescent="0.25">
      <c r="L719" s="11">
        <v>705</v>
      </c>
      <c r="M719" s="4">
        <v>1.485909188897933</v>
      </c>
      <c r="N719" s="4">
        <v>1.110525601284023</v>
      </c>
      <c r="O719" s="4">
        <v>1.4032776420477004</v>
      </c>
      <c r="P719" s="4">
        <v>1.408968470806909</v>
      </c>
      <c r="Q719" s="4">
        <v>1.1921222821853559</v>
      </c>
      <c r="R719" s="4">
        <f t="shared" ref="R719:R782" si="34">SUMPRODUCT(M719:Q719,$M$8:$Q$8)</f>
        <v>1.3325279247574136</v>
      </c>
      <c r="S719" s="2">
        <f t="shared" si="33"/>
        <v>0.33252792475741355</v>
      </c>
    </row>
    <row r="720" spans="12:19" x14ac:dyDescent="0.25">
      <c r="L720" s="11">
        <v>706</v>
      </c>
      <c r="M720" s="4">
        <v>2.1172570256399479</v>
      </c>
      <c r="N720" s="4">
        <v>1.4667645271826737</v>
      </c>
      <c r="O720" s="4">
        <v>1.4043543001761445</v>
      </c>
      <c r="P720" s="4">
        <v>1.8113355514120844</v>
      </c>
      <c r="Q720" s="4">
        <v>1.3408735117278217</v>
      </c>
      <c r="R720" s="4">
        <f t="shared" si="34"/>
        <v>1.6269864007028956</v>
      </c>
      <c r="S720" s="2">
        <f t="shared" ref="S720:S783" si="35">R720-1</f>
        <v>0.62698640070289557</v>
      </c>
    </row>
    <row r="721" spans="12:19" x14ac:dyDescent="0.25">
      <c r="L721" s="11">
        <v>707</v>
      </c>
      <c r="M721" s="4">
        <v>2.1579392108252149</v>
      </c>
      <c r="N721" s="4">
        <v>1.443905920134825</v>
      </c>
      <c r="O721" s="4">
        <v>1.4393131692309888</v>
      </c>
      <c r="P721" s="4">
        <v>1.6559688524071203</v>
      </c>
      <c r="Q721" s="4">
        <v>1.3229052677522115</v>
      </c>
      <c r="R721" s="4">
        <f t="shared" si="34"/>
        <v>1.6041060282281752</v>
      </c>
      <c r="S721" s="2">
        <f t="shared" si="35"/>
        <v>0.60410602822817516</v>
      </c>
    </row>
    <row r="722" spans="12:19" x14ac:dyDescent="0.25">
      <c r="L722" s="11">
        <v>708</v>
      </c>
      <c r="M722" s="4">
        <v>0.68816730801125614</v>
      </c>
      <c r="N722" s="4">
        <v>0.94630006006091849</v>
      </c>
      <c r="O722" s="4">
        <v>1.112907063180089</v>
      </c>
      <c r="P722" s="4">
        <v>0.82348992430589807</v>
      </c>
      <c r="Q722" s="4">
        <v>0.97570416914369251</v>
      </c>
      <c r="R722" s="4">
        <f t="shared" si="34"/>
        <v>0.9156019389889245</v>
      </c>
      <c r="S722" s="2">
        <f t="shared" si="35"/>
        <v>-8.4398061011075498E-2</v>
      </c>
    </row>
    <row r="723" spans="12:19" x14ac:dyDescent="0.25">
      <c r="L723" s="11">
        <v>709</v>
      </c>
      <c r="M723" s="4">
        <v>1.3298996365492535</v>
      </c>
      <c r="N723" s="4">
        <v>1.2377176755004509</v>
      </c>
      <c r="O723" s="4">
        <v>1.1405531109390998</v>
      </c>
      <c r="P723" s="4">
        <v>1.1978920533080324</v>
      </c>
      <c r="Q723" s="4">
        <v>1.1925581097494391</v>
      </c>
      <c r="R723" s="4">
        <f t="shared" si="34"/>
        <v>1.2155807326480912</v>
      </c>
      <c r="S723" s="2">
        <f t="shared" si="35"/>
        <v>0.21558073264809119</v>
      </c>
    </row>
    <row r="724" spans="12:19" x14ac:dyDescent="0.25">
      <c r="L724" s="11">
        <v>710</v>
      </c>
      <c r="M724" s="4">
        <v>0.67189005622707965</v>
      </c>
      <c r="N724" s="4">
        <v>1.1010564686188615</v>
      </c>
      <c r="O724" s="4">
        <v>1.1354551863024476</v>
      </c>
      <c r="P724" s="4">
        <v>0.82494206704743744</v>
      </c>
      <c r="Q724" s="4">
        <v>0.92206711112218842</v>
      </c>
      <c r="R724" s="4">
        <f t="shared" si="34"/>
        <v>0.93248810196703025</v>
      </c>
      <c r="S724" s="2">
        <f t="shared" si="35"/>
        <v>-6.7511898032969753E-2</v>
      </c>
    </row>
    <row r="725" spans="12:19" x14ac:dyDescent="0.25">
      <c r="L725" s="11">
        <v>711</v>
      </c>
      <c r="M725" s="4">
        <v>3.7036410258708337</v>
      </c>
      <c r="N725" s="4">
        <v>1.7026697646053048</v>
      </c>
      <c r="O725" s="4">
        <v>1.6819919974916979</v>
      </c>
      <c r="P725" s="4">
        <v>2.3179459880532844</v>
      </c>
      <c r="Q725" s="4">
        <v>1.5791977504789225</v>
      </c>
      <c r="R725" s="4">
        <f t="shared" si="34"/>
        <v>2.1961632526922945</v>
      </c>
      <c r="S725" s="2">
        <f t="shared" si="35"/>
        <v>1.1961632526922945</v>
      </c>
    </row>
    <row r="726" spans="12:19" x14ac:dyDescent="0.25">
      <c r="L726" s="11">
        <v>712</v>
      </c>
      <c r="M726" s="4">
        <v>1.7279497201974783</v>
      </c>
      <c r="N726" s="4">
        <v>1.3249337079049657</v>
      </c>
      <c r="O726" s="4">
        <v>1.1557419674956853</v>
      </c>
      <c r="P726" s="4">
        <v>1.4311988859557998</v>
      </c>
      <c r="Q726" s="4">
        <v>1.2680022726144689</v>
      </c>
      <c r="R726" s="4">
        <f t="shared" si="34"/>
        <v>1.3748437397175983</v>
      </c>
      <c r="S726" s="2">
        <f t="shared" si="35"/>
        <v>0.37484373971759832</v>
      </c>
    </row>
    <row r="727" spans="12:19" x14ac:dyDescent="0.25">
      <c r="L727" s="11">
        <v>713</v>
      </c>
      <c r="M727" s="4">
        <v>1.6217859013597242</v>
      </c>
      <c r="N727" s="4">
        <v>1.5107219959761351</v>
      </c>
      <c r="O727" s="4">
        <v>1.2727564063520198</v>
      </c>
      <c r="P727" s="4">
        <v>1.3647655610766134</v>
      </c>
      <c r="Q727" s="4">
        <v>1.2136959831926042</v>
      </c>
      <c r="R727" s="4">
        <f t="shared" si="34"/>
        <v>1.387444448284205</v>
      </c>
      <c r="S727" s="2">
        <f t="shared" si="35"/>
        <v>0.38744444828420499</v>
      </c>
    </row>
    <row r="728" spans="12:19" x14ac:dyDescent="0.25">
      <c r="L728" s="11">
        <v>714</v>
      </c>
      <c r="M728" s="4">
        <v>1.5640478117541896</v>
      </c>
      <c r="N728" s="4">
        <v>1.1024557737227967</v>
      </c>
      <c r="O728" s="4">
        <v>1.2695471182923426</v>
      </c>
      <c r="P728" s="4">
        <v>1.3694244122468067</v>
      </c>
      <c r="Q728" s="4">
        <v>1.2349719482523145</v>
      </c>
      <c r="R728" s="4">
        <f t="shared" si="34"/>
        <v>1.3147880671996213</v>
      </c>
      <c r="S728" s="2">
        <f t="shared" si="35"/>
        <v>0.31478806719962127</v>
      </c>
    </row>
    <row r="729" spans="12:19" x14ac:dyDescent="0.25">
      <c r="L729" s="11">
        <v>715</v>
      </c>
      <c r="M729" s="4">
        <v>1.33381516335633</v>
      </c>
      <c r="N729" s="4">
        <v>0.98259265198803392</v>
      </c>
      <c r="O729" s="4">
        <v>1.1938316613450153</v>
      </c>
      <c r="P729" s="4">
        <v>1.2211602282274912</v>
      </c>
      <c r="Q729" s="4">
        <v>1.1492921391082247</v>
      </c>
      <c r="R729" s="4">
        <f t="shared" si="34"/>
        <v>1.1845061198921247</v>
      </c>
      <c r="S729" s="2">
        <f t="shared" si="35"/>
        <v>0.18450611989212473</v>
      </c>
    </row>
    <row r="730" spans="12:19" x14ac:dyDescent="0.25">
      <c r="L730" s="11">
        <v>716</v>
      </c>
      <c r="M730" s="4">
        <v>2.4740158804054349</v>
      </c>
      <c r="N730" s="4">
        <v>1.1460102005946018</v>
      </c>
      <c r="O730" s="4">
        <v>1.5067736551855648</v>
      </c>
      <c r="P730" s="4">
        <v>1.9409024739681862</v>
      </c>
      <c r="Q730" s="4">
        <v>1.3838046586250179</v>
      </c>
      <c r="R730" s="4">
        <f t="shared" si="34"/>
        <v>1.7056679346651897</v>
      </c>
      <c r="S730" s="2">
        <f t="shared" si="35"/>
        <v>0.70566793466518973</v>
      </c>
    </row>
    <row r="731" spans="12:19" x14ac:dyDescent="0.25">
      <c r="L731" s="11">
        <v>717</v>
      </c>
      <c r="M731" s="4">
        <v>0.87199455399838188</v>
      </c>
      <c r="N731" s="4">
        <v>1.0148173351017356</v>
      </c>
      <c r="O731" s="4">
        <v>0.97754040341614346</v>
      </c>
      <c r="P731" s="4">
        <v>0.93982581102815954</v>
      </c>
      <c r="Q731" s="4">
        <v>0.99367551784744856</v>
      </c>
      <c r="R731" s="4">
        <f t="shared" si="34"/>
        <v>0.95802823384780689</v>
      </c>
      <c r="S731" s="2">
        <f t="shared" si="35"/>
        <v>-4.1971766152193113E-2</v>
      </c>
    </row>
    <row r="732" spans="12:19" x14ac:dyDescent="0.25">
      <c r="L732" s="11">
        <v>718</v>
      </c>
      <c r="M732" s="4">
        <v>0.84740772431479916</v>
      </c>
      <c r="N732" s="4">
        <v>1.0243929076372633</v>
      </c>
      <c r="O732" s="4">
        <v>1.1976228802568267</v>
      </c>
      <c r="P732" s="4">
        <v>0.98087332134064353</v>
      </c>
      <c r="Q732" s="4">
        <v>0.98780993151664975</v>
      </c>
      <c r="R732" s="4">
        <f t="shared" si="34"/>
        <v>1.0148287595268153</v>
      </c>
      <c r="S732" s="2">
        <f t="shared" si="35"/>
        <v>1.4828759526815283E-2</v>
      </c>
    </row>
    <row r="733" spans="12:19" x14ac:dyDescent="0.25">
      <c r="L733" s="11">
        <v>719</v>
      </c>
      <c r="M733" s="4">
        <v>1.4596943245089218</v>
      </c>
      <c r="N733" s="4">
        <v>1.2226184304234622</v>
      </c>
      <c r="O733" s="4">
        <v>1.2169761627910576</v>
      </c>
      <c r="P733" s="4">
        <v>1.3207103671562863</v>
      </c>
      <c r="Q733" s="4">
        <v>1.2001045898184128</v>
      </c>
      <c r="R733" s="4">
        <f t="shared" si="34"/>
        <v>1.2839918632718967</v>
      </c>
      <c r="S733" s="2">
        <f t="shared" si="35"/>
        <v>0.28399186327189674</v>
      </c>
    </row>
    <row r="734" spans="12:19" x14ac:dyDescent="0.25">
      <c r="L734" s="11">
        <v>720</v>
      </c>
      <c r="M734" s="4">
        <v>1.0417616877240647</v>
      </c>
      <c r="N734" s="4">
        <v>1.0567509121323426</v>
      </c>
      <c r="O734" s="4">
        <v>1.0811822200666379</v>
      </c>
      <c r="P734" s="4">
        <v>1.0474730102989729</v>
      </c>
      <c r="Q734" s="4">
        <v>1.0518168199298206</v>
      </c>
      <c r="R734" s="4">
        <f t="shared" si="34"/>
        <v>1.0567669848947772</v>
      </c>
      <c r="S734" s="2">
        <f t="shared" si="35"/>
        <v>5.6766984894777162E-2</v>
      </c>
    </row>
    <row r="735" spans="12:19" x14ac:dyDescent="0.25">
      <c r="L735" s="11">
        <v>721</v>
      </c>
      <c r="M735" s="4">
        <v>0.7051808259695852</v>
      </c>
      <c r="N735" s="4">
        <v>0.90719352519318441</v>
      </c>
      <c r="O735" s="4">
        <v>0.91107248965642895</v>
      </c>
      <c r="P735" s="4">
        <v>0.80455404258159879</v>
      </c>
      <c r="Q735" s="4">
        <v>0.92116400571956814</v>
      </c>
      <c r="R735" s="4">
        <f t="shared" si="34"/>
        <v>0.84971709325808065</v>
      </c>
      <c r="S735" s="2">
        <f t="shared" si="35"/>
        <v>-0.15028290674191935</v>
      </c>
    </row>
    <row r="736" spans="12:19" x14ac:dyDescent="0.25">
      <c r="L736" s="11">
        <v>722</v>
      </c>
      <c r="M736" s="4">
        <v>1.5041319499664736</v>
      </c>
      <c r="N736" s="4">
        <v>1.4063168882437962</v>
      </c>
      <c r="O736" s="4">
        <v>1.194891389565506</v>
      </c>
      <c r="P736" s="4">
        <v>1.3655234105532392</v>
      </c>
      <c r="Q736" s="4">
        <v>1.1620561984860058</v>
      </c>
      <c r="R736" s="4">
        <f t="shared" si="34"/>
        <v>1.318828108921136</v>
      </c>
      <c r="S736" s="2">
        <f t="shared" si="35"/>
        <v>0.318828108921136</v>
      </c>
    </row>
    <row r="737" spans="12:19" x14ac:dyDescent="0.25">
      <c r="L737" s="11">
        <v>723</v>
      </c>
      <c r="M737" s="4">
        <v>0.7070585884658328</v>
      </c>
      <c r="N737" s="4">
        <v>0.90697581425614682</v>
      </c>
      <c r="O737" s="4">
        <v>1.0377475289218623</v>
      </c>
      <c r="P737" s="4">
        <v>0.94152224311365207</v>
      </c>
      <c r="Q737" s="4">
        <v>1.0132016702932909</v>
      </c>
      <c r="R737" s="4">
        <f t="shared" si="34"/>
        <v>0.92671451153315343</v>
      </c>
      <c r="S737" s="2">
        <f t="shared" si="35"/>
        <v>-7.3285488466846571E-2</v>
      </c>
    </row>
    <row r="738" spans="12:19" x14ac:dyDescent="0.25">
      <c r="L738" s="11">
        <v>724</v>
      </c>
      <c r="M738" s="4">
        <v>0.68806773256244269</v>
      </c>
      <c r="N738" s="4">
        <v>0.84824059565796428</v>
      </c>
      <c r="O738" s="4">
        <v>1.0004660022278891</v>
      </c>
      <c r="P738" s="4">
        <v>0.84530151475325188</v>
      </c>
      <c r="Q738" s="4">
        <v>0.91127418240485358</v>
      </c>
      <c r="R738" s="4">
        <f t="shared" si="34"/>
        <v>0.86479570199253319</v>
      </c>
      <c r="S738" s="2">
        <f t="shared" si="35"/>
        <v>-0.13520429800746681</v>
      </c>
    </row>
    <row r="739" spans="12:19" x14ac:dyDescent="0.25">
      <c r="L739" s="11">
        <v>725</v>
      </c>
      <c r="M739" s="4">
        <v>3.3476709753767939</v>
      </c>
      <c r="N739" s="4">
        <v>1.535448269910433</v>
      </c>
      <c r="O739" s="4">
        <v>1.6186687886979738</v>
      </c>
      <c r="P739" s="4">
        <v>2.3829662903994975</v>
      </c>
      <c r="Q739" s="4">
        <v>1.539872442133031</v>
      </c>
      <c r="R739" s="4">
        <f t="shared" si="34"/>
        <v>2.0895457214112279</v>
      </c>
      <c r="S739" s="2">
        <f t="shared" si="35"/>
        <v>1.0895457214112279</v>
      </c>
    </row>
    <row r="740" spans="12:19" x14ac:dyDescent="0.25">
      <c r="L740" s="11">
        <v>726</v>
      </c>
      <c r="M740" s="4">
        <v>1.0718685980717568</v>
      </c>
      <c r="N740" s="4">
        <v>1.2038924257318011</v>
      </c>
      <c r="O740" s="4">
        <v>1.1346297619578281</v>
      </c>
      <c r="P740" s="4">
        <v>1.0729208743535463</v>
      </c>
      <c r="Q740" s="4">
        <v>1.1247282380931007</v>
      </c>
      <c r="R740" s="4">
        <f t="shared" si="34"/>
        <v>1.1186669259535842</v>
      </c>
      <c r="S740" s="2">
        <f t="shared" si="35"/>
        <v>0.11866692595358419</v>
      </c>
    </row>
    <row r="741" spans="12:19" x14ac:dyDescent="0.25">
      <c r="L741" s="11">
        <v>727</v>
      </c>
      <c r="M741" s="4">
        <v>0.81691135171502427</v>
      </c>
      <c r="N741" s="4">
        <v>1.0735117178324598</v>
      </c>
      <c r="O741" s="4">
        <v>1.1530143462148412</v>
      </c>
      <c r="P741" s="4">
        <v>0.93547330762106273</v>
      </c>
      <c r="Q741" s="4">
        <v>0.99388580457005493</v>
      </c>
      <c r="R741" s="4">
        <f t="shared" si="34"/>
        <v>0.99779715781209077</v>
      </c>
      <c r="S741" s="2">
        <f t="shared" si="35"/>
        <v>-2.2028421879092264E-3</v>
      </c>
    </row>
    <row r="742" spans="12:19" x14ac:dyDescent="0.25">
      <c r="L742" s="11">
        <v>728</v>
      </c>
      <c r="M742" s="4">
        <v>0.77923416588850158</v>
      </c>
      <c r="N742" s="4">
        <v>0.89859698425037726</v>
      </c>
      <c r="O742" s="4">
        <v>0.76063546026048845</v>
      </c>
      <c r="P742" s="4">
        <v>0.78812261690992558</v>
      </c>
      <c r="Q742" s="4">
        <v>0.93928465690375862</v>
      </c>
      <c r="R742" s="4">
        <f t="shared" si="34"/>
        <v>0.82703054942397036</v>
      </c>
      <c r="S742" s="2">
        <f t="shared" si="35"/>
        <v>-0.17296945057602964</v>
      </c>
    </row>
    <row r="743" spans="12:19" x14ac:dyDescent="0.25">
      <c r="L743" s="11">
        <v>729</v>
      </c>
      <c r="M743" s="4">
        <v>1.7879722019853588</v>
      </c>
      <c r="N743" s="4">
        <v>1.5223654930884618</v>
      </c>
      <c r="O743" s="4">
        <v>1.2614713804333701</v>
      </c>
      <c r="P743" s="4">
        <v>1.4375851146864695</v>
      </c>
      <c r="Q743" s="4">
        <v>1.3211672469888356</v>
      </c>
      <c r="R743" s="4">
        <f t="shared" si="34"/>
        <v>1.4554767418489809</v>
      </c>
      <c r="S743" s="2">
        <f t="shared" si="35"/>
        <v>0.4554767418489809</v>
      </c>
    </row>
    <row r="744" spans="12:19" x14ac:dyDescent="0.25">
      <c r="L744" s="11">
        <v>730</v>
      </c>
      <c r="M744" s="4">
        <v>2.2887497510963937</v>
      </c>
      <c r="N744" s="4">
        <v>1.3181562638985564</v>
      </c>
      <c r="O744" s="4">
        <v>1.4373376897616412</v>
      </c>
      <c r="P744" s="4">
        <v>1.8553916406071311</v>
      </c>
      <c r="Q744" s="4">
        <v>1.4751429784069487</v>
      </c>
      <c r="R744" s="4">
        <f t="shared" si="34"/>
        <v>1.6802199876444577</v>
      </c>
      <c r="S744" s="2">
        <f t="shared" si="35"/>
        <v>0.68021998764445768</v>
      </c>
    </row>
    <row r="745" spans="12:19" x14ac:dyDescent="0.25">
      <c r="L745" s="11">
        <v>731</v>
      </c>
      <c r="M745" s="4">
        <v>1.3803144299730483</v>
      </c>
      <c r="N745" s="4">
        <v>1.2157437755082108</v>
      </c>
      <c r="O745" s="4">
        <v>1.0556191367010235</v>
      </c>
      <c r="P745" s="4">
        <v>1.1869801840503598</v>
      </c>
      <c r="Q745" s="4">
        <v>1.1358582842132714</v>
      </c>
      <c r="R745" s="4">
        <f t="shared" si="34"/>
        <v>1.1883193553681628</v>
      </c>
      <c r="S745" s="2">
        <f t="shared" si="35"/>
        <v>0.1883193553681628</v>
      </c>
    </row>
    <row r="746" spans="12:19" x14ac:dyDescent="0.25">
      <c r="L746" s="11">
        <v>732</v>
      </c>
      <c r="M746" s="4">
        <v>0.94470061121649018</v>
      </c>
      <c r="N746" s="4">
        <v>1.058471084824681</v>
      </c>
      <c r="O746" s="4">
        <v>0.9343734052696393</v>
      </c>
      <c r="P746" s="4">
        <v>0.93463553069136152</v>
      </c>
      <c r="Q746" s="4">
        <v>1.0110012433392002</v>
      </c>
      <c r="R746" s="4">
        <f t="shared" si="34"/>
        <v>0.97136392260204663</v>
      </c>
      <c r="S746" s="2">
        <f t="shared" si="35"/>
        <v>-2.8636077397953374E-2</v>
      </c>
    </row>
    <row r="747" spans="12:19" x14ac:dyDescent="0.25">
      <c r="L747" s="11">
        <v>733</v>
      </c>
      <c r="M747" s="4">
        <v>1.6590429385977867</v>
      </c>
      <c r="N747" s="4">
        <v>1.1483739270349407</v>
      </c>
      <c r="O747" s="4">
        <v>1.331449073881728</v>
      </c>
      <c r="P747" s="4">
        <v>1.4589193189712997</v>
      </c>
      <c r="Q747" s="4">
        <v>1.2044417023528031</v>
      </c>
      <c r="R747" s="4">
        <f t="shared" si="34"/>
        <v>1.3683228418150706</v>
      </c>
      <c r="S747" s="2">
        <f t="shared" si="35"/>
        <v>0.36832284181507058</v>
      </c>
    </row>
    <row r="748" spans="12:19" x14ac:dyDescent="0.25">
      <c r="L748" s="11">
        <v>734</v>
      </c>
      <c r="M748" s="4">
        <v>2.2059143173572378</v>
      </c>
      <c r="N748" s="4">
        <v>1.4596986543122474</v>
      </c>
      <c r="O748" s="4">
        <v>1.5130667221103637</v>
      </c>
      <c r="P748" s="4">
        <v>1.8024642540743725</v>
      </c>
      <c r="Q748" s="4">
        <v>1.3724130100663485</v>
      </c>
      <c r="R748" s="4">
        <f t="shared" si="34"/>
        <v>1.6737605014233385</v>
      </c>
      <c r="S748" s="2">
        <f t="shared" si="35"/>
        <v>0.67376050142333854</v>
      </c>
    </row>
    <row r="749" spans="12:19" x14ac:dyDescent="0.25">
      <c r="L749" s="11">
        <v>735</v>
      </c>
      <c r="M749" s="4">
        <v>2.6667780121724647</v>
      </c>
      <c r="N749" s="4">
        <v>1.4243752312525444</v>
      </c>
      <c r="O749" s="4">
        <v>1.438731823123965</v>
      </c>
      <c r="P749" s="4">
        <v>1.9507017862234726</v>
      </c>
      <c r="Q749" s="4">
        <v>1.4557732633070919</v>
      </c>
      <c r="R749" s="4">
        <f t="shared" si="34"/>
        <v>1.7882343385530781</v>
      </c>
      <c r="S749" s="2">
        <f t="shared" si="35"/>
        <v>0.78823433855307812</v>
      </c>
    </row>
    <row r="750" spans="12:19" x14ac:dyDescent="0.25">
      <c r="L750" s="11">
        <v>736</v>
      </c>
      <c r="M750" s="4">
        <v>1.5655948448867654</v>
      </c>
      <c r="N750" s="4">
        <v>1.373181506072372</v>
      </c>
      <c r="O750" s="4">
        <v>1.5782817447727069</v>
      </c>
      <c r="P750" s="4">
        <v>1.4126590919780493</v>
      </c>
      <c r="Q750" s="4">
        <v>1.2046161276733394</v>
      </c>
      <c r="R750" s="4">
        <f t="shared" si="34"/>
        <v>1.4356420520622</v>
      </c>
      <c r="S750" s="2">
        <f t="shared" si="35"/>
        <v>0.43564205206219997</v>
      </c>
    </row>
    <row r="751" spans="12:19" x14ac:dyDescent="0.25">
      <c r="L751" s="11">
        <v>737</v>
      </c>
      <c r="M751" s="4">
        <v>1.1516934923499533</v>
      </c>
      <c r="N751" s="4">
        <v>1.0545759586860364</v>
      </c>
      <c r="O751" s="4">
        <v>1.0173550304481895</v>
      </c>
      <c r="P751" s="4">
        <v>1.0878630072480711</v>
      </c>
      <c r="Q751" s="4">
        <v>1.1019266840510074</v>
      </c>
      <c r="R751" s="4">
        <f t="shared" si="34"/>
        <v>1.0809628503281166</v>
      </c>
      <c r="S751" s="2">
        <f t="shared" si="35"/>
        <v>8.0962850328116565E-2</v>
      </c>
    </row>
    <row r="752" spans="12:19" x14ac:dyDescent="0.25">
      <c r="L752" s="11">
        <v>738</v>
      </c>
      <c r="M752" s="4">
        <v>1.4074743518612534</v>
      </c>
      <c r="N752" s="4">
        <v>1.226723305543685</v>
      </c>
      <c r="O752" s="4">
        <v>1.2770225029592295</v>
      </c>
      <c r="P752" s="4">
        <v>1.2532294749234705</v>
      </c>
      <c r="Q752" s="4">
        <v>1.1638943497249556</v>
      </c>
      <c r="R752" s="4">
        <f t="shared" si="34"/>
        <v>1.267714065153277</v>
      </c>
      <c r="S752" s="2">
        <f t="shared" si="35"/>
        <v>0.267714065153277</v>
      </c>
    </row>
    <row r="753" spans="12:19" x14ac:dyDescent="0.25">
      <c r="L753" s="11">
        <v>739</v>
      </c>
      <c r="M753" s="4">
        <v>1.6595331513232283</v>
      </c>
      <c r="N753" s="4">
        <v>1.258599277699977</v>
      </c>
      <c r="O753" s="4">
        <v>1.2975258091242363</v>
      </c>
      <c r="P753" s="4">
        <v>1.5197055080356019</v>
      </c>
      <c r="Q753" s="4">
        <v>1.2416544580482236</v>
      </c>
      <c r="R753" s="4">
        <f t="shared" si="34"/>
        <v>1.3978253811381844</v>
      </c>
      <c r="S753" s="2">
        <f t="shared" si="35"/>
        <v>0.39782538113818444</v>
      </c>
    </row>
    <row r="754" spans="12:19" x14ac:dyDescent="0.25">
      <c r="L754" s="11">
        <v>740</v>
      </c>
      <c r="M754" s="4">
        <v>1.1071981754784805</v>
      </c>
      <c r="N754" s="4">
        <v>1.0119190416430834</v>
      </c>
      <c r="O754" s="4">
        <v>1.1426922109010678</v>
      </c>
      <c r="P754" s="4">
        <v>1.0756803729428634</v>
      </c>
      <c r="Q754" s="4">
        <v>1.0663614951483573</v>
      </c>
      <c r="R754" s="4">
        <f t="shared" si="34"/>
        <v>1.0859143718242457</v>
      </c>
      <c r="S754" s="2">
        <f t="shared" si="35"/>
        <v>8.5914371824245661E-2</v>
      </c>
    </row>
    <row r="755" spans="12:19" x14ac:dyDescent="0.25">
      <c r="L755" s="11">
        <v>741</v>
      </c>
      <c r="M755" s="4">
        <v>1.1799696662520351</v>
      </c>
      <c r="N755" s="4">
        <v>1.004058188610925</v>
      </c>
      <c r="O755" s="4">
        <v>1.1641907639493123</v>
      </c>
      <c r="P755" s="4">
        <v>1.1775341446204539</v>
      </c>
      <c r="Q755" s="4">
        <v>1.0996706430620364</v>
      </c>
      <c r="R755" s="4">
        <f t="shared" si="34"/>
        <v>1.1317448577824458</v>
      </c>
      <c r="S755" s="2">
        <f t="shared" si="35"/>
        <v>0.13174485778244582</v>
      </c>
    </row>
    <row r="756" spans="12:19" x14ac:dyDescent="0.25">
      <c r="L756" s="11">
        <v>742</v>
      </c>
      <c r="M756" s="4">
        <v>1.4747171831548769</v>
      </c>
      <c r="N756" s="4">
        <v>1.3991960555120362</v>
      </c>
      <c r="O756" s="4">
        <v>1.3941122268543884</v>
      </c>
      <c r="P756" s="4">
        <v>1.3967951148552689</v>
      </c>
      <c r="Q756" s="4">
        <v>1.2109797906993163</v>
      </c>
      <c r="R756" s="4">
        <f t="shared" si="34"/>
        <v>1.3756627829981463</v>
      </c>
      <c r="S756" s="2">
        <f t="shared" si="35"/>
        <v>0.37566278299814626</v>
      </c>
    </row>
    <row r="757" spans="12:19" x14ac:dyDescent="0.25">
      <c r="L757" s="11">
        <v>743</v>
      </c>
      <c r="M757" s="4">
        <v>1.9903330027651531</v>
      </c>
      <c r="N757" s="4">
        <v>1.4857311085373854</v>
      </c>
      <c r="O757" s="4">
        <v>1.2419512187745758</v>
      </c>
      <c r="P757" s="4">
        <v>1.5779081738530745</v>
      </c>
      <c r="Q757" s="4">
        <v>1.3009873326840864</v>
      </c>
      <c r="R757" s="4">
        <f t="shared" si="34"/>
        <v>1.5099640149180333</v>
      </c>
      <c r="S757" s="2">
        <f t="shared" si="35"/>
        <v>0.50996401491803334</v>
      </c>
    </row>
    <row r="758" spans="12:19" x14ac:dyDescent="0.25">
      <c r="L758" s="11">
        <v>744</v>
      </c>
      <c r="M758" s="4">
        <v>0.87058651599185577</v>
      </c>
      <c r="N758" s="4">
        <v>1.1756622099206582</v>
      </c>
      <c r="O758" s="4">
        <v>1.1575514111180836</v>
      </c>
      <c r="P758" s="4">
        <v>1.0045980280087359</v>
      </c>
      <c r="Q758" s="4">
        <v>1.0485195656758024</v>
      </c>
      <c r="R758" s="4">
        <f t="shared" si="34"/>
        <v>1.0508581568224673</v>
      </c>
      <c r="S758" s="2">
        <f t="shared" si="35"/>
        <v>5.0858156822467304E-2</v>
      </c>
    </row>
    <row r="759" spans="12:19" x14ac:dyDescent="0.25">
      <c r="L759" s="11">
        <v>745</v>
      </c>
      <c r="M759" s="4">
        <v>2.0488425729344772</v>
      </c>
      <c r="N759" s="4">
        <v>1.3865078925137935</v>
      </c>
      <c r="O759" s="4">
        <v>1.4357749115970082</v>
      </c>
      <c r="P759" s="4">
        <v>1.6808503335844931</v>
      </c>
      <c r="Q759" s="4">
        <v>1.3265069428664713</v>
      </c>
      <c r="R759" s="4">
        <f t="shared" si="34"/>
        <v>1.5783277420179054</v>
      </c>
      <c r="S759" s="2">
        <f t="shared" si="35"/>
        <v>0.57832774201790538</v>
      </c>
    </row>
    <row r="760" spans="12:19" x14ac:dyDescent="0.25">
      <c r="L760" s="11">
        <v>746</v>
      </c>
      <c r="M760" s="4">
        <v>1.5406864738984407</v>
      </c>
      <c r="N760" s="4">
        <v>1.4677468681513353</v>
      </c>
      <c r="O760" s="4">
        <v>1.403304187755672</v>
      </c>
      <c r="P760" s="4">
        <v>1.4381212658903311</v>
      </c>
      <c r="Q760" s="4">
        <v>1.219493899003119</v>
      </c>
      <c r="R760" s="4">
        <f t="shared" si="34"/>
        <v>1.412121074233782</v>
      </c>
      <c r="S760" s="2">
        <f t="shared" si="35"/>
        <v>0.41212107423378197</v>
      </c>
    </row>
    <row r="761" spans="12:19" x14ac:dyDescent="0.25">
      <c r="L761" s="11">
        <v>747</v>
      </c>
      <c r="M761" s="4">
        <v>1.4244483181568199</v>
      </c>
      <c r="N761" s="4">
        <v>1.2011928700201484</v>
      </c>
      <c r="O761" s="4">
        <v>1.3063544106552927</v>
      </c>
      <c r="P761" s="4">
        <v>1.3863263602004756</v>
      </c>
      <c r="Q761" s="4">
        <v>1.1833335756768715</v>
      </c>
      <c r="R761" s="4">
        <f t="shared" si="34"/>
        <v>1.3053119497654353</v>
      </c>
      <c r="S761" s="2">
        <f t="shared" si="35"/>
        <v>0.3053119497654353</v>
      </c>
    </row>
    <row r="762" spans="12:19" x14ac:dyDescent="0.25">
      <c r="L762" s="11">
        <v>748</v>
      </c>
      <c r="M762" s="4">
        <v>2.4825804641478357</v>
      </c>
      <c r="N762" s="4">
        <v>1.5206766102673024</v>
      </c>
      <c r="O762" s="4">
        <v>1.4169514273608983</v>
      </c>
      <c r="P762" s="4">
        <v>1.73023228289961</v>
      </c>
      <c r="Q762" s="4">
        <v>1.4227364845770145</v>
      </c>
      <c r="R762" s="4">
        <f t="shared" si="34"/>
        <v>1.7100601247396141</v>
      </c>
      <c r="S762" s="2">
        <f t="shared" si="35"/>
        <v>0.71006012473961411</v>
      </c>
    </row>
    <row r="763" spans="12:19" x14ac:dyDescent="0.25">
      <c r="L763" s="11">
        <v>749</v>
      </c>
      <c r="M763" s="4">
        <v>1.7612828399523943</v>
      </c>
      <c r="N763" s="4">
        <v>1.2640557713880893</v>
      </c>
      <c r="O763" s="4">
        <v>1.2025203115967837</v>
      </c>
      <c r="P763" s="4">
        <v>1.5395849111445079</v>
      </c>
      <c r="Q763" s="4">
        <v>1.2686851688861818</v>
      </c>
      <c r="R763" s="4">
        <f t="shared" si="34"/>
        <v>1.4054083863706464</v>
      </c>
      <c r="S763" s="2">
        <f t="shared" si="35"/>
        <v>0.40540838637064636</v>
      </c>
    </row>
    <row r="764" spans="12:19" x14ac:dyDescent="0.25">
      <c r="L764" s="11">
        <v>750</v>
      </c>
      <c r="M764" s="4">
        <v>1.9278652844442765</v>
      </c>
      <c r="N764" s="4">
        <v>1.1965454290680804</v>
      </c>
      <c r="O764" s="4">
        <v>1.3488082278789353</v>
      </c>
      <c r="P764" s="4">
        <v>1.5887141803990594</v>
      </c>
      <c r="Q764" s="4">
        <v>1.280376005134193</v>
      </c>
      <c r="R764" s="4">
        <f t="shared" si="34"/>
        <v>1.4749954158820029</v>
      </c>
      <c r="S764" s="2">
        <f t="shared" si="35"/>
        <v>0.47499541588200289</v>
      </c>
    </row>
    <row r="765" spans="12:19" x14ac:dyDescent="0.25">
      <c r="L765" s="11">
        <v>751</v>
      </c>
      <c r="M765" s="4">
        <v>1.6692562292843969</v>
      </c>
      <c r="N765" s="4">
        <v>1.1258958685794276</v>
      </c>
      <c r="O765" s="4">
        <v>1.22660229104983</v>
      </c>
      <c r="P765" s="4">
        <v>1.4737931776114883</v>
      </c>
      <c r="Q765" s="4">
        <v>1.2197223097949721</v>
      </c>
      <c r="R765" s="4">
        <f t="shared" si="34"/>
        <v>1.3476436634181932</v>
      </c>
      <c r="S765" s="2">
        <f t="shared" si="35"/>
        <v>0.34764366341819319</v>
      </c>
    </row>
    <row r="766" spans="12:19" x14ac:dyDescent="0.25">
      <c r="L766" s="11">
        <v>752</v>
      </c>
      <c r="M766" s="4">
        <v>1.519945393370798</v>
      </c>
      <c r="N766" s="4">
        <v>1.4633931648717853</v>
      </c>
      <c r="O766" s="4">
        <v>1.3202150942415007</v>
      </c>
      <c r="P766" s="4">
        <v>1.3673835643168439</v>
      </c>
      <c r="Q766" s="4">
        <v>1.1672748956753161</v>
      </c>
      <c r="R766" s="4">
        <f t="shared" si="34"/>
        <v>1.3625800904727539</v>
      </c>
      <c r="S766" s="2">
        <f t="shared" si="35"/>
        <v>0.36258009047275386</v>
      </c>
    </row>
    <row r="767" spans="12:19" x14ac:dyDescent="0.25">
      <c r="L767" s="11">
        <v>753</v>
      </c>
      <c r="M767" s="4">
        <v>1.4939745658022612</v>
      </c>
      <c r="N767" s="4">
        <v>1.0987428532988985</v>
      </c>
      <c r="O767" s="4">
        <v>1.2645725072412239</v>
      </c>
      <c r="P767" s="4">
        <v>1.3575368075898222</v>
      </c>
      <c r="Q767" s="4">
        <v>1.184796673586098</v>
      </c>
      <c r="R767" s="4">
        <f t="shared" si="34"/>
        <v>1.2869019542594757</v>
      </c>
      <c r="S767" s="2">
        <f t="shared" si="35"/>
        <v>0.28690195425947573</v>
      </c>
    </row>
    <row r="768" spans="12:19" x14ac:dyDescent="0.25">
      <c r="L768" s="11">
        <v>754</v>
      </c>
      <c r="M768" s="4">
        <v>1.1388206462609063</v>
      </c>
      <c r="N768" s="4">
        <v>0.90819997049937673</v>
      </c>
      <c r="O768" s="4">
        <v>1.1447204706994063</v>
      </c>
      <c r="P768" s="4">
        <v>1.1067130702074299</v>
      </c>
      <c r="Q768" s="4">
        <v>1.061822854335329</v>
      </c>
      <c r="R768" s="4">
        <f t="shared" si="34"/>
        <v>1.0815143743105171</v>
      </c>
      <c r="S768" s="2">
        <f t="shared" si="35"/>
        <v>8.1514374310517113E-2</v>
      </c>
    </row>
    <row r="769" spans="12:19" x14ac:dyDescent="0.25">
      <c r="L769" s="11">
        <v>755</v>
      </c>
      <c r="M769" s="4">
        <v>1.1118891410141249</v>
      </c>
      <c r="N769" s="4">
        <v>1.2214645352512385</v>
      </c>
      <c r="O769" s="4">
        <v>1.1221165726552953</v>
      </c>
      <c r="P769" s="4">
        <v>1.1867075570758314</v>
      </c>
      <c r="Q769" s="4">
        <v>1.081517179978452</v>
      </c>
      <c r="R769" s="4">
        <f t="shared" si="34"/>
        <v>1.1414871420604267</v>
      </c>
      <c r="S769" s="2">
        <f t="shared" si="35"/>
        <v>0.14148714206042667</v>
      </c>
    </row>
    <row r="770" spans="12:19" x14ac:dyDescent="0.25">
      <c r="L770" s="11">
        <v>756</v>
      </c>
      <c r="M770" s="4">
        <v>2.2354910028244332</v>
      </c>
      <c r="N770" s="4">
        <v>1.4021895464981955</v>
      </c>
      <c r="O770" s="4">
        <v>1.5802264370012749</v>
      </c>
      <c r="P770" s="4">
        <v>1.728594670299791</v>
      </c>
      <c r="Q770" s="4">
        <v>1.3895141004452352</v>
      </c>
      <c r="R770" s="4">
        <f t="shared" si="34"/>
        <v>1.6745356165198335</v>
      </c>
      <c r="S770" s="2">
        <f t="shared" si="35"/>
        <v>0.67453561651983351</v>
      </c>
    </row>
    <row r="771" spans="12:19" x14ac:dyDescent="0.25">
      <c r="L771" s="11">
        <v>757</v>
      </c>
      <c r="M771" s="4">
        <v>2.0099067576883365</v>
      </c>
      <c r="N771" s="4">
        <v>1.2166592065993023</v>
      </c>
      <c r="O771" s="4">
        <v>1.3530156852505386</v>
      </c>
      <c r="P771" s="4">
        <v>1.6463726933273324</v>
      </c>
      <c r="Q771" s="4">
        <v>1.2969253482878809</v>
      </c>
      <c r="R771" s="4">
        <f t="shared" si="34"/>
        <v>1.5105967230860582</v>
      </c>
      <c r="S771" s="2">
        <f t="shared" si="35"/>
        <v>0.51059672308605819</v>
      </c>
    </row>
    <row r="772" spans="12:19" x14ac:dyDescent="0.25">
      <c r="L772" s="11">
        <v>758</v>
      </c>
      <c r="M772" s="4">
        <v>1.5995721279357218</v>
      </c>
      <c r="N772" s="4">
        <v>1.2557888133848147</v>
      </c>
      <c r="O772" s="4">
        <v>1.4330071059323204</v>
      </c>
      <c r="P772" s="4">
        <v>1.4194102044845276</v>
      </c>
      <c r="Q772" s="4">
        <v>1.2357515716424265</v>
      </c>
      <c r="R772" s="4">
        <f t="shared" si="34"/>
        <v>1.3961287447258051</v>
      </c>
      <c r="S772" s="2">
        <f t="shared" si="35"/>
        <v>0.39612874472580506</v>
      </c>
    </row>
    <row r="773" spans="12:19" x14ac:dyDescent="0.25">
      <c r="L773" s="11">
        <v>759</v>
      </c>
      <c r="M773" s="4">
        <v>2.0122924420258412</v>
      </c>
      <c r="N773" s="4">
        <v>1.26463339247739</v>
      </c>
      <c r="O773" s="4">
        <v>1.3822235327295103</v>
      </c>
      <c r="P773" s="4">
        <v>1.658498675747476</v>
      </c>
      <c r="Q773" s="4">
        <v>1.2901001122142939</v>
      </c>
      <c r="R773" s="4">
        <f t="shared" si="34"/>
        <v>1.5269551277929425</v>
      </c>
      <c r="S773" s="2">
        <f t="shared" si="35"/>
        <v>0.52695512779294251</v>
      </c>
    </row>
    <row r="774" spans="12:19" x14ac:dyDescent="0.25">
      <c r="L774" s="11">
        <v>760</v>
      </c>
      <c r="M774" s="4">
        <v>0.97421719153196107</v>
      </c>
      <c r="N774" s="4">
        <v>0.99917723173828121</v>
      </c>
      <c r="O774" s="4">
        <v>1.1653104077943597</v>
      </c>
      <c r="P774" s="4">
        <v>1.0531594701492821</v>
      </c>
      <c r="Q774" s="4">
        <v>1.0316277147017499</v>
      </c>
      <c r="R774" s="4">
        <f t="shared" si="34"/>
        <v>1.0515812399385978</v>
      </c>
      <c r="S774" s="2">
        <f t="shared" si="35"/>
        <v>5.1581239938597756E-2</v>
      </c>
    </row>
    <row r="775" spans="12:19" x14ac:dyDescent="0.25">
      <c r="L775" s="11">
        <v>761</v>
      </c>
      <c r="M775" s="4">
        <v>3.2683238447646978</v>
      </c>
      <c r="N775" s="4">
        <v>1.6238039379046618</v>
      </c>
      <c r="O775" s="4">
        <v>1.6180008593721358</v>
      </c>
      <c r="P775" s="4">
        <v>2.4352237539613109</v>
      </c>
      <c r="Q775" s="4">
        <v>1.5249765638253987</v>
      </c>
      <c r="R775" s="4">
        <f t="shared" si="34"/>
        <v>2.0958008125338856</v>
      </c>
      <c r="S775" s="2">
        <f t="shared" si="35"/>
        <v>1.0958008125338856</v>
      </c>
    </row>
    <row r="776" spans="12:19" x14ac:dyDescent="0.25">
      <c r="L776" s="11">
        <v>762</v>
      </c>
      <c r="M776" s="4">
        <v>0.97114803216904599</v>
      </c>
      <c r="N776" s="4">
        <v>1.0603159995576275</v>
      </c>
      <c r="O776" s="4">
        <v>0.99529254797726241</v>
      </c>
      <c r="P776" s="4">
        <v>1.0367225648172227</v>
      </c>
      <c r="Q776" s="4">
        <v>1.0832307726430084</v>
      </c>
      <c r="R776" s="4">
        <f t="shared" si="34"/>
        <v>1.0267000501078543</v>
      </c>
      <c r="S776" s="2">
        <f t="shared" si="35"/>
        <v>2.6700050107854256E-2</v>
      </c>
    </row>
    <row r="777" spans="12:19" x14ac:dyDescent="0.25">
      <c r="L777" s="11">
        <v>763</v>
      </c>
      <c r="M777" s="4">
        <v>1.4132328181045131</v>
      </c>
      <c r="N777" s="4">
        <v>1.2534114557599827</v>
      </c>
      <c r="O777" s="4">
        <v>1.1845428128165179</v>
      </c>
      <c r="P777" s="4">
        <v>1.2570361061146189</v>
      </c>
      <c r="Q777" s="4">
        <v>1.1405205652326427</v>
      </c>
      <c r="R777" s="4">
        <f t="shared" si="34"/>
        <v>1.2471866139561609</v>
      </c>
      <c r="S777" s="2">
        <f t="shared" si="35"/>
        <v>0.24718661395616093</v>
      </c>
    </row>
    <row r="778" spans="12:19" x14ac:dyDescent="0.25">
      <c r="L778" s="11">
        <v>764</v>
      </c>
      <c r="M778" s="4">
        <v>0.74123656729478382</v>
      </c>
      <c r="N778" s="4">
        <v>0.76706085487598263</v>
      </c>
      <c r="O778" s="4">
        <v>0.89273983457674744</v>
      </c>
      <c r="P778" s="4">
        <v>0.83536288478890919</v>
      </c>
      <c r="Q778" s="4">
        <v>0.96601802913373924</v>
      </c>
      <c r="R778" s="4">
        <f t="shared" si="34"/>
        <v>0.84505468375629134</v>
      </c>
      <c r="S778" s="2">
        <f t="shared" si="35"/>
        <v>-0.15494531624370866</v>
      </c>
    </row>
    <row r="779" spans="12:19" x14ac:dyDescent="0.25">
      <c r="L779" s="11">
        <v>765</v>
      </c>
      <c r="M779" s="4">
        <v>1.7174205711741517</v>
      </c>
      <c r="N779" s="4">
        <v>1.4203719696006636</v>
      </c>
      <c r="O779" s="4">
        <v>1.3053215811653898</v>
      </c>
      <c r="P779" s="4">
        <v>1.5313877814180903</v>
      </c>
      <c r="Q779" s="4">
        <v>1.2680368436472893</v>
      </c>
      <c r="R779" s="4">
        <f t="shared" si="34"/>
        <v>1.4446887918177791</v>
      </c>
      <c r="S779" s="2">
        <f t="shared" si="35"/>
        <v>0.44468879181777909</v>
      </c>
    </row>
    <row r="780" spans="12:19" x14ac:dyDescent="0.25">
      <c r="L780" s="11">
        <v>766</v>
      </c>
      <c r="M780" s="4">
        <v>2.2734618343692343</v>
      </c>
      <c r="N780" s="4">
        <v>1.1748745804836003</v>
      </c>
      <c r="O780" s="4">
        <v>1.471933635113343</v>
      </c>
      <c r="P780" s="4">
        <v>1.7250011925938007</v>
      </c>
      <c r="Q780" s="4">
        <v>1.3929559972381638</v>
      </c>
      <c r="R780" s="4">
        <f t="shared" si="34"/>
        <v>1.6194746579129302</v>
      </c>
      <c r="S780" s="2">
        <f t="shared" si="35"/>
        <v>0.61947465791293022</v>
      </c>
    </row>
    <row r="781" spans="12:19" x14ac:dyDescent="0.25">
      <c r="L781" s="11">
        <v>767</v>
      </c>
      <c r="M781" s="4">
        <v>1.2843167918239631</v>
      </c>
      <c r="N781" s="4">
        <v>1.3339354961368701</v>
      </c>
      <c r="O781" s="4">
        <v>1.1997139642017096</v>
      </c>
      <c r="P781" s="4">
        <v>1.2098441391392718</v>
      </c>
      <c r="Q781" s="4">
        <v>1.1219061893330042</v>
      </c>
      <c r="R781" s="4">
        <f t="shared" si="34"/>
        <v>1.2249012864498559</v>
      </c>
      <c r="S781" s="2">
        <f t="shared" si="35"/>
        <v>0.22490128644985585</v>
      </c>
    </row>
    <row r="782" spans="12:19" x14ac:dyDescent="0.25">
      <c r="L782" s="11">
        <v>768</v>
      </c>
      <c r="M782" s="4">
        <v>2.1644149326477766</v>
      </c>
      <c r="N782" s="4">
        <v>1.5345330552219976</v>
      </c>
      <c r="O782" s="4">
        <v>1.3433519572230739</v>
      </c>
      <c r="P782" s="4">
        <v>1.7350392165628334</v>
      </c>
      <c r="Q782" s="4">
        <v>1.3911296922146585</v>
      </c>
      <c r="R782" s="4">
        <f t="shared" si="34"/>
        <v>1.6265985263779859</v>
      </c>
      <c r="S782" s="2">
        <f t="shared" si="35"/>
        <v>0.62659852637798585</v>
      </c>
    </row>
    <row r="783" spans="12:19" x14ac:dyDescent="0.25">
      <c r="L783" s="11">
        <v>769</v>
      </c>
      <c r="M783" s="4">
        <v>1.3237937832134514</v>
      </c>
      <c r="N783" s="4">
        <v>1.1141713409574736</v>
      </c>
      <c r="O783" s="4">
        <v>1.0820945009018286</v>
      </c>
      <c r="P783" s="4">
        <v>1.161535142742518</v>
      </c>
      <c r="Q783" s="4">
        <v>1.107140849829906</v>
      </c>
      <c r="R783" s="4">
        <f t="shared" ref="R783:R846" si="36">SUMPRODUCT(M783:Q783,$M$8:$Q$8)</f>
        <v>1.1563156127211456</v>
      </c>
      <c r="S783" s="2">
        <f t="shared" si="35"/>
        <v>0.15631561272114558</v>
      </c>
    </row>
    <row r="784" spans="12:19" x14ac:dyDescent="0.25">
      <c r="L784" s="11">
        <v>770</v>
      </c>
      <c r="M784" s="4">
        <v>1.5235733789437356</v>
      </c>
      <c r="N784" s="4">
        <v>1.465941723539365</v>
      </c>
      <c r="O784" s="4">
        <v>1.3162840786998129</v>
      </c>
      <c r="P784" s="4">
        <v>1.4542668146789683</v>
      </c>
      <c r="Q784" s="4">
        <v>1.1979381834649323</v>
      </c>
      <c r="R784" s="4">
        <f t="shared" si="36"/>
        <v>1.3867119720217904</v>
      </c>
      <c r="S784" s="2">
        <f t="shared" ref="S784:S847" si="37">R784-1</f>
        <v>0.38671197202179042</v>
      </c>
    </row>
    <row r="785" spans="12:19" x14ac:dyDescent="0.25">
      <c r="L785" s="11">
        <v>771</v>
      </c>
      <c r="M785" s="4">
        <v>0.96339330613491592</v>
      </c>
      <c r="N785" s="4">
        <v>0.87293433179987712</v>
      </c>
      <c r="O785" s="4">
        <v>1.1589104829248416</v>
      </c>
      <c r="P785" s="4">
        <v>1.0939921286716612</v>
      </c>
      <c r="Q785" s="4">
        <v>1.0650133811160469</v>
      </c>
      <c r="R785" s="4">
        <f t="shared" si="36"/>
        <v>1.0425835679189586</v>
      </c>
      <c r="S785" s="2">
        <f t="shared" si="37"/>
        <v>4.2583567918958565E-2</v>
      </c>
    </row>
    <row r="786" spans="12:19" x14ac:dyDescent="0.25">
      <c r="L786" s="11">
        <v>772</v>
      </c>
      <c r="M786" s="4">
        <v>0.84488407810475386</v>
      </c>
      <c r="N786" s="4">
        <v>1.0717593787406638</v>
      </c>
      <c r="O786" s="4">
        <v>0.88982622436381353</v>
      </c>
      <c r="P786" s="4">
        <v>0.90685863936118649</v>
      </c>
      <c r="Q786" s="4">
        <v>0.97758543959439015</v>
      </c>
      <c r="R786" s="4">
        <f t="shared" si="36"/>
        <v>0.93082910425748777</v>
      </c>
      <c r="S786" s="2">
        <f t="shared" si="37"/>
        <v>-6.9170895742512228E-2</v>
      </c>
    </row>
    <row r="787" spans="12:19" x14ac:dyDescent="0.25">
      <c r="L787" s="11">
        <v>773</v>
      </c>
      <c r="M787" s="4">
        <v>1.6190964812720026</v>
      </c>
      <c r="N787" s="4">
        <v>1.145110289186553</v>
      </c>
      <c r="O787" s="4">
        <v>1.2753716976193463</v>
      </c>
      <c r="P787" s="4">
        <v>1.3783287790269059</v>
      </c>
      <c r="Q787" s="4">
        <v>1.2009647679629589</v>
      </c>
      <c r="R787" s="4">
        <f t="shared" si="36"/>
        <v>1.3291173430431653</v>
      </c>
      <c r="S787" s="2">
        <f t="shared" si="37"/>
        <v>0.32911734304316531</v>
      </c>
    </row>
    <row r="788" spans="12:19" x14ac:dyDescent="0.25">
      <c r="L788" s="11">
        <v>774</v>
      </c>
      <c r="M788" s="4">
        <v>1.7279497799534747</v>
      </c>
      <c r="N788" s="4">
        <v>1.4166981568765653</v>
      </c>
      <c r="O788" s="4">
        <v>1.2596809717901365</v>
      </c>
      <c r="P788" s="4">
        <v>1.4714993406249159</v>
      </c>
      <c r="Q788" s="4">
        <v>1.2601265493842482</v>
      </c>
      <c r="R788" s="4">
        <f t="shared" si="36"/>
        <v>1.4213078342635481</v>
      </c>
      <c r="S788" s="2">
        <f t="shared" si="37"/>
        <v>0.42130783426354812</v>
      </c>
    </row>
    <row r="789" spans="12:19" x14ac:dyDescent="0.25">
      <c r="L789" s="11">
        <v>775</v>
      </c>
      <c r="M789" s="4">
        <v>1.8571574004431044</v>
      </c>
      <c r="N789" s="4">
        <v>1.5693244695677799</v>
      </c>
      <c r="O789" s="4">
        <v>1.2281406457053445</v>
      </c>
      <c r="P789" s="4">
        <v>1.554989348000867</v>
      </c>
      <c r="Q789" s="4">
        <v>1.2853246631902506</v>
      </c>
      <c r="R789" s="4">
        <f t="shared" si="36"/>
        <v>1.4859746806275911</v>
      </c>
      <c r="S789" s="2">
        <f t="shared" si="37"/>
        <v>0.48597468062759108</v>
      </c>
    </row>
    <row r="790" spans="12:19" x14ac:dyDescent="0.25">
      <c r="L790" s="11">
        <v>776</v>
      </c>
      <c r="M790" s="4">
        <v>2.0045352761982023</v>
      </c>
      <c r="N790" s="4">
        <v>1.7154258560319995</v>
      </c>
      <c r="O790" s="4">
        <v>1.3295476588171649</v>
      </c>
      <c r="P790" s="4">
        <v>1.6075362303090031</v>
      </c>
      <c r="Q790" s="4">
        <v>1.2935175684753604</v>
      </c>
      <c r="R790" s="4">
        <f t="shared" si="36"/>
        <v>1.5753487014770533</v>
      </c>
      <c r="S790" s="2">
        <f t="shared" si="37"/>
        <v>0.5753487014770533</v>
      </c>
    </row>
    <row r="791" spans="12:19" x14ac:dyDescent="0.25">
      <c r="L791" s="11">
        <v>777</v>
      </c>
      <c r="M791" s="4">
        <v>1.2320861056808143</v>
      </c>
      <c r="N791" s="4">
        <v>1.0104542433812362</v>
      </c>
      <c r="O791" s="4">
        <v>1.3913259463110113</v>
      </c>
      <c r="P791" s="4">
        <v>1.2701945779417838</v>
      </c>
      <c r="Q791" s="4">
        <v>1.1430918136433381</v>
      </c>
      <c r="R791" s="4">
        <f t="shared" si="36"/>
        <v>1.2251721049597517</v>
      </c>
      <c r="S791" s="2">
        <f t="shared" si="37"/>
        <v>0.22517210495975171</v>
      </c>
    </row>
    <row r="792" spans="12:19" x14ac:dyDescent="0.25">
      <c r="L792" s="11">
        <v>778</v>
      </c>
      <c r="M792" s="4">
        <v>0.69755198260990758</v>
      </c>
      <c r="N792" s="4">
        <v>1.0019675577377953</v>
      </c>
      <c r="O792" s="4">
        <v>0.88588910395712395</v>
      </c>
      <c r="P792" s="4">
        <v>0.76783021983771993</v>
      </c>
      <c r="Q792" s="4">
        <v>0.91595168946271199</v>
      </c>
      <c r="R792" s="4">
        <f t="shared" si="36"/>
        <v>0.84878766801537331</v>
      </c>
      <c r="S792" s="2">
        <f t="shared" si="37"/>
        <v>-0.15121233198462669</v>
      </c>
    </row>
    <row r="793" spans="12:19" x14ac:dyDescent="0.25">
      <c r="L793" s="11">
        <v>779</v>
      </c>
      <c r="M793" s="4">
        <v>2.0963834174453644</v>
      </c>
      <c r="N793" s="4">
        <v>1.1905846970670577</v>
      </c>
      <c r="O793" s="4">
        <v>1.4454602913343786</v>
      </c>
      <c r="P793" s="4">
        <v>1.6724338103461847</v>
      </c>
      <c r="Q793" s="4">
        <v>1.3223166946375857</v>
      </c>
      <c r="R793" s="4">
        <f t="shared" si="36"/>
        <v>1.5560068278379904</v>
      </c>
      <c r="S793" s="2">
        <f t="shared" si="37"/>
        <v>0.55600682783799038</v>
      </c>
    </row>
    <row r="794" spans="12:19" x14ac:dyDescent="0.25">
      <c r="L794" s="11">
        <v>780</v>
      </c>
      <c r="M794" s="4">
        <v>1.9445171230781921</v>
      </c>
      <c r="N794" s="4">
        <v>1.4322600853277749</v>
      </c>
      <c r="O794" s="4">
        <v>1.2165419737995959</v>
      </c>
      <c r="P794" s="4">
        <v>1.5239345790796373</v>
      </c>
      <c r="Q794" s="4">
        <v>1.2588991734861494</v>
      </c>
      <c r="R794" s="4">
        <f t="shared" si="36"/>
        <v>1.4668529821131222</v>
      </c>
      <c r="S794" s="2">
        <f t="shared" si="37"/>
        <v>0.46685298211312221</v>
      </c>
    </row>
    <row r="795" spans="12:19" x14ac:dyDescent="0.25">
      <c r="L795" s="11">
        <v>781</v>
      </c>
      <c r="M795" s="4">
        <v>1.9407049703077217</v>
      </c>
      <c r="N795" s="4">
        <v>1.3159570992584797</v>
      </c>
      <c r="O795" s="4">
        <v>1.3890795616408809</v>
      </c>
      <c r="P795" s="4">
        <v>1.7118260971295416</v>
      </c>
      <c r="Q795" s="4">
        <v>1.3995060835058075</v>
      </c>
      <c r="R795" s="4">
        <f t="shared" si="36"/>
        <v>1.5550822111052698</v>
      </c>
      <c r="S795" s="2">
        <f t="shared" si="37"/>
        <v>0.55508221110526978</v>
      </c>
    </row>
    <row r="796" spans="12:19" x14ac:dyDescent="0.25">
      <c r="L796" s="11">
        <v>782</v>
      </c>
      <c r="M796" s="4">
        <v>1.4048609820800384</v>
      </c>
      <c r="N796" s="4">
        <v>1.1061108851331229</v>
      </c>
      <c r="O796" s="4">
        <v>1.2543704654847629</v>
      </c>
      <c r="P796" s="4">
        <v>1.2800773890335744</v>
      </c>
      <c r="Q796" s="4">
        <v>1.1505533503215479</v>
      </c>
      <c r="R796" s="4">
        <f t="shared" si="36"/>
        <v>1.2453336414693372</v>
      </c>
      <c r="S796" s="2">
        <f t="shared" si="37"/>
        <v>0.24533364146933723</v>
      </c>
    </row>
    <row r="797" spans="12:19" x14ac:dyDescent="0.25">
      <c r="L797" s="11">
        <v>783</v>
      </c>
      <c r="M797" s="4">
        <v>1.0530624146973995</v>
      </c>
      <c r="N797" s="4">
        <v>0.96333296946165903</v>
      </c>
      <c r="O797" s="4">
        <v>1.0669812552134101</v>
      </c>
      <c r="P797" s="4">
        <v>1.043648462464287</v>
      </c>
      <c r="Q797" s="4">
        <v>1.0412533583150965</v>
      </c>
      <c r="R797" s="4">
        <f t="shared" si="36"/>
        <v>1.0377322878272555</v>
      </c>
      <c r="S797" s="2">
        <f t="shared" si="37"/>
        <v>3.7732287827255462E-2</v>
      </c>
    </row>
    <row r="798" spans="12:19" x14ac:dyDescent="0.25">
      <c r="L798" s="11">
        <v>784</v>
      </c>
      <c r="M798" s="4">
        <v>0.37824820740829451</v>
      </c>
      <c r="N798" s="4">
        <v>0.73478651986334653</v>
      </c>
      <c r="O798" s="4">
        <v>0.90259111027105876</v>
      </c>
      <c r="P798" s="4">
        <v>0.60365166274239568</v>
      </c>
      <c r="Q798" s="4">
        <v>0.82947796089039549</v>
      </c>
      <c r="R798" s="4">
        <f t="shared" si="36"/>
        <v>0.69595558006912961</v>
      </c>
      <c r="S798" s="2">
        <f t="shared" si="37"/>
        <v>-0.30404441993087039</v>
      </c>
    </row>
    <row r="799" spans="12:19" x14ac:dyDescent="0.25">
      <c r="L799" s="11">
        <v>785</v>
      </c>
      <c r="M799" s="4">
        <v>0.80918805324282983</v>
      </c>
      <c r="N799" s="4">
        <v>0.90902165375100619</v>
      </c>
      <c r="O799" s="4">
        <v>0.96599253215225833</v>
      </c>
      <c r="P799" s="4">
        <v>0.90875524709595967</v>
      </c>
      <c r="Q799" s="4">
        <v>0.95968423612411013</v>
      </c>
      <c r="R799" s="4">
        <f t="shared" si="36"/>
        <v>0.91279311055803369</v>
      </c>
      <c r="S799" s="2">
        <f t="shared" si="37"/>
        <v>-8.7206889441966307E-2</v>
      </c>
    </row>
    <row r="800" spans="12:19" x14ac:dyDescent="0.25">
      <c r="L800" s="11">
        <v>786</v>
      </c>
      <c r="M800" s="4">
        <v>1.5628159807511068</v>
      </c>
      <c r="N800" s="4">
        <v>1.1439900689750209</v>
      </c>
      <c r="O800" s="4">
        <v>1.2812238178595756</v>
      </c>
      <c r="P800" s="4">
        <v>1.3550995207879175</v>
      </c>
      <c r="Q800" s="4">
        <v>1.2247597304680875</v>
      </c>
      <c r="R800" s="4">
        <f t="shared" si="36"/>
        <v>1.3190630851885745</v>
      </c>
      <c r="S800" s="2">
        <f t="shared" si="37"/>
        <v>0.31906308518857451</v>
      </c>
    </row>
    <row r="801" spans="12:19" x14ac:dyDescent="0.25">
      <c r="L801" s="11">
        <v>787</v>
      </c>
      <c r="M801" s="4">
        <v>1.2157468280837711</v>
      </c>
      <c r="N801" s="4">
        <v>1.3114885162120935</v>
      </c>
      <c r="O801" s="4">
        <v>1.2770904114588146</v>
      </c>
      <c r="P801" s="4">
        <v>1.1988383871957082</v>
      </c>
      <c r="Q801" s="4">
        <v>1.1316853103736866</v>
      </c>
      <c r="R801" s="4">
        <f t="shared" si="36"/>
        <v>1.2259360922526896</v>
      </c>
      <c r="S801" s="2">
        <f t="shared" si="37"/>
        <v>0.22593609225268962</v>
      </c>
    </row>
    <row r="802" spans="12:19" x14ac:dyDescent="0.25">
      <c r="L802" s="11">
        <v>788</v>
      </c>
      <c r="M802" s="4">
        <v>1.4412800839712603</v>
      </c>
      <c r="N802" s="4">
        <v>1.3676330449351553</v>
      </c>
      <c r="O802" s="4">
        <v>1.2793916139388228</v>
      </c>
      <c r="P802" s="4">
        <v>1.4530865188700084</v>
      </c>
      <c r="Q802" s="4">
        <v>1.1968996419568778</v>
      </c>
      <c r="R802" s="4">
        <f t="shared" si="36"/>
        <v>1.3453636951127945</v>
      </c>
      <c r="S802" s="2">
        <f t="shared" si="37"/>
        <v>0.34536369511279452</v>
      </c>
    </row>
    <row r="803" spans="12:19" x14ac:dyDescent="0.25">
      <c r="L803" s="11">
        <v>789</v>
      </c>
      <c r="M803" s="4">
        <v>0.86212200077586476</v>
      </c>
      <c r="N803" s="4">
        <v>1.1557498877163981</v>
      </c>
      <c r="O803" s="4">
        <v>0.9901091176826986</v>
      </c>
      <c r="P803" s="4">
        <v>0.92851715874948149</v>
      </c>
      <c r="Q803" s="4">
        <v>0.99639578289228437</v>
      </c>
      <c r="R803" s="4">
        <f t="shared" si="36"/>
        <v>0.97992801777387684</v>
      </c>
      <c r="S803" s="2">
        <f t="shared" si="37"/>
        <v>-2.0071982226123164E-2</v>
      </c>
    </row>
    <row r="804" spans="12:19" x14ac:dyDescent="0.25">
      <c r="L804" s="11">
        <v>790</v>
      </c>
      <c r="M804" s="4">
        <v>2.1903685397191492</v>
      </c>
      <c r="N804" s="4">
        <v>1.5693490676194803</v>
      </c>
      <c r="O804" s="4">
        <v>1.2241369422303856</v>
      </c>
      <c r="P804" s="4">
        <v>1.6526615978846251</v>
      </c>
      <c r="Q804" s="4">
        <v>1.3508514201718564</v>
      </c>
      <c r="R804" s="4">
        <f t="shared" si="36"/>
        <v>1.5838374922685905</v>
      </c>
      <c r="S804" s="2">
        <f t="shared" si="37"/>
        <v>0.5838374922685905</v>
      </c>
    </row>
    <row r="805" spans="12:19" x14ac:dyDescent="0.25">
      <c r="L805" s="11">
        <v>791</v>
      </c>
      <c r="M805" s="4">
        <v>1.5074407975292143</v>
      </c>
      <c r="N805" s="4">
        <v>1.2928276799344944</v>
      </c>
      <c r="O805" s="4">
        <v>1.225207131357448</v>
      </c>
      <c r="P805" s="4">
        <v>1.2729757110397142</v>
      </c>
      <c r="Q805" s="4">
        <v>1.1778025571254664</v>
      </c>
      <c r="R805" s="4">
        <f t="shared" si="36"/>
        <v>1.2924573956857195</v>
      </c>
      <c r="S805" s="2">
        <f t="shared" si="37"/>
        <v>0.29245739568571949</v>
      </c>
    </row>
    <row r="806" spans="12:19" x14ac:dyDescent="0.25">
      <c r="L806" s="11">
        <v>792</v>
      </c>
      <c r="M806" s="4">
        <v>2.1944217849666097</v>
      </c>
      <c r="N806" s="4">
        <v>1.5057211434513245</v>
      </c>
      <c r="O806" s="4">
        <v>1.4781955991897742</v>
      </c>
      <c r="P806" s="4">
        <v>1.70687211664895</v>
      </c>
      <c r="Q806" s="4">
        <v>1.3444758816883648</v>
      </c>
      <c r="R806" s="4">
        <f t="shared" si="36"/>
        <v>1.6453049613285207</v>
      </c>
      <c r="S806" s="2">
        <f t="shared" si="37"/>
        <v>0.64530496132852067</v>
      </c>
    </row>
    <row r="807" spans="12:19" x14ac:dyDescent="0.25">
      <c r="L807" s="11">
        <v>793</v>
      </c>
      <c r="M807" s="4">
        <v>0.96216538764588655</v>
      </c>
      <c r="N807" s="4">
        <v>0.96118785478877533</v>
      </c>
      <c r="O807" s="4">
        <v>1.023993733557784</v>
      </c>
      <c r="P807" s="4">
        <v>1.0432674266521273</v>
      </c>
      <c r="Q807" s="4">
        <v>1.0888790732724782</v>
      </c>
      <c r="R807" s="4">
        <f t="shared" si="36"/>
        <v>1.018337120058076</v>
      </c>
      <c r="S807" s="2">
        <f t="shared" si="37"/>
        <v>1.8337120058075973E-2</v>
      </c>
    </row>
    <row r="808" spans="12:19" x14ac:dyDescent="0.25">
      <c r="L808" s="11">
        <v>794</v>
      </c>
      <c r="M808" s="4">
        <v>0.72701243678298677</v>
      </c>
      <c r="N808" s="4">
        <v>0.83611770137531416</v>
      </c>
      <c r="O808" s="4">
        <v>1.0257683279332093</v>
      </c>
      <c r="P808" s="4">
        <v>0.79894225335905455</v>
      </c>
      <c r="Q808" s="4">
        <v>0.93380809565468048</v>
      </c>
      <c r="R808" s="4">
        <f t="shared" si="36"/>
        <v>0.87142412568409</v>
      </c>
      <c r="S808" s="2">
        <f t="shared" si="37"/>
        <v>-0.12857587431591</v>
      </c>
    </row>
    <row r="809" spans="12:19" x14ac:dyDescent="0.25">
      <c r="L809" s="11">
        <v>795</v>
      </c>
      <c r="M809" s="4">
        <v>2.2835087326501382</v>
      </c>
      <c r="N809" s="4">
        <v>1.4184663945757041</v>
      </c>
      <c r="O809" s="4">
        <v>1.7467969485655881</v>
      </c>
      <c r="P809" s="4">
        <v>1.8523666999518262</v>
      </c>
      <c r="Q809" s="4">
        <v>1.4166225855295531</v>
      </c>
      <c r="R809" s="4">
        <f t="shared" si="36"/>
        <v>1.7574645939470184</v>
      </c>
      <c r="S809" s="2">
        <f t="shared" si="37"/>
        <v>0.75746459394701837</v>
      </c>
    </row>
    <row r="810" spans="12:19" x14ac:dyDescent="0.25">
      <c r="L810" s="11">
        <v>796</v>
      </c>
      <c r="M810" s="4">
        <v>2.0153254940841263</v>
      </c>
      <c r="N810" s="4">
        <v>1.4962538255436535</v>
      </c>
      <c r="O810" s="4">
        <v>1.4542481415537405</v>
      </c>
      <c r="P810" s="4">
        <v>1.6998502413842516</v>
      </c>
      <c r="Q810" s="4">
        <v>1.3353574438055282</v>
      </c>
      <c r="R810" s="4">
        <f t="shared" si="36"/>
        <v>1.599424034512841</v>
      </c>
      <c r="S810" s="2">
        <f t="shared" si="37"/>
        <v>0.59942403451284099</v>
      </c>
    </row>
    <row r="811" spans="12:19" x14ac:dyDescent="0.25">
      <c r="L811" s="11">
        <v>797</v>
      </c>
      <c r="M811" s="4">
        <v>1.4952628853252967</v>
      </c>
      <c r="N811" s="4">
        <v>1.3595571312928205</v>
      </c>
      <c r="O811" s="4">
        <v>1.217481488441067</v>
      </c>
      <c r="P811" s="4">
        <v>1.3425062904790599</v>
      </c>
      <c r="Q811" s="4">
        <v>1.1746346581613543</v>
      </c>
      <c r="R811" s="4">
        <f t="shared" si="36"/>
        <v>1.3126768676165186</v>
      </c>
      <c r="S811" s="2">
        <f t="shared" si="37"/>
        <v>0.31267686761651858</v>
      </c>
    </row>
    <row r="812" spans="12:19" x14ac:dyDescent="0.25">
      <c r="L812" s="11">
        <v>798</v>
      </c>
      <c r="M812" s="4">
        <v>1.0022426793840129</v>
      </c>
      <c r="N812" s="4">
        <v>0.91510103800664677</v>
      </c>
      <c r="O812" s="4">
        <v>0.96117964611745732</v>
      </c>
      <c r="P812" s="4">
        <v>1.0313046510340553</v>
      </c>
      <c r="Q812" s="4">
        <v>1.0651875432746101</v>
      </c>
      <c r="R812" s="4">
        <f t="shared" si="36"/>
        <v>0.99668951735490685</v>
      </c>
      <c r="S812" s="2">
        <f t="shared" si="37"/>
        <v>-3.310482645093149E-3</v>
      </c>
    </row>
    <row r="813" spans="12:19" x14ac:dyDescent="0.25">
      <c r="L813" s="11">
        <v>799</v>
      </c>
      <c r="M813" s="4">
        <v>1.3280211281186145</v>
      </c>
      <c r="N813" s="4">
        <v>1.3275667578556916</v>
      </c>
      <c r="O813" s="4">
        <v>1.3988984142851895</v>
      </c>
      <c r="P813" s="4">
        <v>1.2966199758154626</v>
      </c>
      <c r="Q813" s="4">
        <v>1.1773941259905316</v>
      </c>
      <c r="R813" s="4">
        <f t="shared" si="36"/>
        <v>1.3090514504005475</v>
      </c>
      <c r="S813" s="2">
        <f t="shared" si="37"/>
        <v>0.30905145040054749</v>
      </c>
    </row>
    <row r="814" spans="12:19" x14ac:dyDescent="0.25">
      <c r="L814" s="11">
        <v>800</v>
      </c>
      <c r="M814" s="4">
        <v>1.9983053175936898</v>
      </c>
      <c r="N814" s="4">
        <v>1.4743732616422847</v>
      </c>
      <c r="O814" s="4">
        <v>1.4040979548079899</v>
      </c>
      <c r="P814" s="4">
        <v>1.7522828621526416</v>
      </c>
      <c r="Q814" s="4">
        <v>1.3082865774075534</v>
      </c>
      <c r="R814" s="4">
        <f t="shared" si="36"/>
        <v>1.5860754024763983</v>
      </c>
      <c r="S814" s="2">
        <f t="shared" si="37"/>
        <v>0.58607540247639833</v>
      </c>
    </row>
    <row r="815" spans="12:19" x14ac:dyDescent="0.25">
      <c r="L815" s="11">
        <v>801</v>
      </c>
      <c r="M815" s="4">
        <v>0.86187067819325258</v>
      </c>
      <c r="N815" s="4">
        <v>1.0358117142358483</v>
      </c>
      <c r="O815" s="4">
        <v>1.0685259488012568</v>
      </c>
      <c r="P815" s="4">
        <v>0.94444675316095161</v>
      </c>
      <c r="Q815" s="4">
        <v>0.99096832261565038</v>
      </c>
      <c r="R815" s="4">
        <f t="shared" si="36"/>
        <v>0.98164740937550732</v>
      </c>
      <c r="S815" s="2">
        <f t="shared" si="37"/>
        <v>-1.8352590624492682E-2</v>
      </c>
    </row>
    <row r="816" spans="12:19" x14ac:dyDescent="0.25">
      <c r="L816" s="11">
        <v>802</v>
      </c>
      <c r="M816" s="4">
        <v>2.504255232545725</v>
      </c>
      <c r="N816" s="4">
        <v>1.783385954018873</v>
      </c>
      <c r="O816" s="4">
        <v>1.5271236034516016</v>
      </c>
      <c r="P816" s="4">
        <v>1.9017852345240165</v>
      </c>
      <c r="Q816" s="4">
        <v>1.4381415523007688</v>
      </c>
      <c r="R816" s="4">
        <f t="shared" si="36"/>
        <v>1.8214473066193371</v>
      </c>
      <c r="S816" s="2">
        <f t="shared" si="37"/>
        <v>0.82144730661933707</v>
      </c>
    </row>
    <row r="817" spans="12:19" x14ac:dyDescent="0.25">
      <c r="L817" s="11">
        <v>803</v>
      </c>
      <c r="M817" s="4">
        <v>1.3246757386487602</v>
      </c>
      <c r="N817" s="4">
        <v>1.0950495619690874</v>
      </c>
      <c r="O817" s="4">
        <v>1.1594144524602248</v>
      </c>
      <c r="P817" s="4">
        <v>1.1711874520235908</v>
      </c>
      <c r="Q817" s="4">
        <v>1.1331281598003762</v>
      </c>
      <c r="R817" s="4">
        <f t="shared" si="36"/>
        <v>1.1790280166795841</v>
      </c>
      <c r="S817" s="2">
        <f t="shared" si="37"/>
        <v>0.17902801667958412</v>
      </c>
    </row>
    <row r="818" spans="12:19" x14ac:dyDescent="0.25">
      <c r="L818" s="11">
        <v>804</v>
      </c>
      <c r="M818" s="4">
        <v>1.3521479585108238</v>
      </c>
      <c r="N818" s="4">
        <v>1.3009271963009708</v>
      </c>
      <c r="O818" s="4">
        <v>1.2701523966826196</v>
      </c>
      <c r="P818" s="4">
        <v>1.3028416850772022</v>
      </c>
      <c r="Q818" s="4">
        <v>1.1424363901914414</v>
      </c>
      <c r="R818" s="4">
        <f t="shared" si="36"/>
        <v>1.2731262267863774</v>
      </c>
      <c r="S818" s="2">
        <f t="shared" si="37"/>
        <v>0.27312622678637744</v>
      </c>
    </row>
    <row r="819" spans="12:19" x14ac:dyDescent="0.25">
      <c r="L819" s="11">
        <v>805</v>
      </c>
      <c r="M819" s="4">
        <v>0.78634898853994684</v>
      </c>
      <c r="N819" s="4">
        <v>1.1223579537458641</v>
      </c>
      <c r="O819" s="4">
        <v>0.92831436637602305</v>
      </c>
      <c r="P819" s="4">
        <v>0.88938484093930459</v>
      </c>
      <c r="Q819" s="4">
        <v>0.96581042011149332</v>
      </c>
      <c r="R819" s="4">
        <f t="shared" si="36"/>
        <v>0.93071225225454579</v>
      </c>
      <c r="S819" s="2">
        <f t="shared" si="37"/>
        <v>-6.9287747745454209E-2</v>
      </c>
    </row>
    <row r="820" spans="12:19" x14ac:dyDescent="0.25">
      <c r="L820" s="11">
        <v>806</v>
      </c>
      <c r="M820" s="4">
        <v>1.242319128237438</v>
      </c>
      <c r="N820" s="4">
        <v>1.1130193040126029</v>
      </c>
      <c r="O820" s="4">
        <v>1.2836219355140939</v>
      </c>
      <c r="P820" s="4">
        <v>1.2717986375732815</v>
      </c>
      <c r="Q820" s="4">
        <v>1.1141439113513043</v>
      </c>
      <c r="R820" s="4">
        <f t="shared" si="36"/>
        <v>1.2125253113513772</v>
      </c>
      <c r="S820" s="2">
        <f t="shared" si="37"/>
        <v>0.2125253113513772</v>
      </c>
    </row>
    <row r="821" spans="12:19" x14ac:dyDescent="0.25">
      <c r="L821" s="11">
        <v>807</v>
      </c>
      <c r="M821" s="4">
        <v>0.83114713135883755</v>
      </c>
      <c r="N821" s="4">
        <v>1.0083084224854229</v>
      </c>
      <c r="O821" s="4">
        <v>1.0697986225382738</v>
      </c>
      <c r="P821" s="4">
        <v>0.92875827275139455</v>
      </c>
      <c r="Q821" s="4">
        <v>0.97448330682045725</v>
      </c>
      <c r="R821" s="4">
        <f t="shared" si="36"/>
        <v>0.96500208140388344</v>
      </c>
      <c r="S821" s="2">
        <f t="shared" si="37"/>
        <v>-3.4997918596116562E-2</v>
      </c>
    </row>
    <row r="822" spans="12:19" x14ac:dyDescent="0.25">
      <c r="L822" s="11">
        <v>808</v>
      </c>
      <c r="M822" s="4">
        <v>1.8302693152040361</v>
      </c>
      <c r="N822" s="4">
        <v>1.2410887105555843</v>
      </c>
      <c r="O822" s="4">
        <v>1.2574762551827652</v>
      </c>
      <c r="P822" s="4">
        <v>1.4336933848806295</v>
      </c>
      <c r="Q822" s="4">
        <v>1.2489282432183282</v>
      </c>
      <c r="R822" s="4">
        <f t="shared" si="36"/>
        <v>1.4027781609417547</v>
      </c>
      <c r="S822" s="2">
        <f t="shared" si="37"/>
        <v>0.40277816094175467</v>
      </c>
    </row>
    <row r="823" spans="12:19" x14ac:dyDescent="0.25">
      <c r="L823" s="11">
        <v>809</v>
      </c>
      <c r="M823" s="4">
        <v>1.0167577938913563</v>
      </c>
      <c r="N823" s="4">
        <v>1.0231161323852871</v>
      </c>
      <c r="O823" s="4">
        <v>1.1186618522342326</v>
      </c>
      <c r="P823" s="4">
        <v>1.0600326511521247</v>
      </c>
      <c r="Q823" s="4">
        <v>1.0487869783520269</v>
      </c>
      <c r="R823" s="4">
        <f t="shared" si="36"/>
        <v>1.0574160768988496</v>
      </c>
      <c r="S823" s="2">
        <f t="shared" si="37"/>
        <v>5.7416076898849644E-2</v>
      </c>
    </row>
    <row r="824" spans="12:19" x14ac:dyDescent="0.25">
      <c r="L824" s="11">
        <v>810</v>
      </c>
      <c r="M824" s="4">
        <v>1.0591933405044076</v>
      </c>
      <c r="N824" s="4">
        <v>1.108358425855279</v>
      </c>
      <c r="O824" s="4">
        <v>1.1241593428605281</v>
      </c>
      <c r="P824" s="4">
        <v>1.0649400312395221</v>
      </c>
      <c r="Q824" s="4">
        <v>1.0729174730602655</v>
      </c>
      <c r="R824" s="4">
        <f t="shared" si="36"/>
        <v>1.0865391734304732</v>
      </c>
      <c r="S824" s="2">
        <f t="shared" si="37"/>
        <v>8.6539173430473237E-2</v>
      </c>
    </row>
    <row r="825" spans="12:19" x14ac:dyDescent="0.25">
      <c r="L825" s="11">
        <v>811</v>
      </c>
      <c r="M825" s="4">
        <v>1.3717828141618476</v>
      </c>
      <c r="N825" s="4">
        <v>1.3211441733237164</v>
      </c>
      <c r="O825" s="4">
        <v>1.0819130849325562</v>
      </c>
      <c r="P825" s="4">
        <v>1.2823340512198418</v>
      </c>
      <c r="Q825" s="4">
        <v>1.1297357252874014</v>
      </c>
      <c r="R825" s="4">
        <f t="shared" si="36"/>
        <v>1.2283928944791471</v>
      </c>
      <c r="S825" s="2">
        <f t="shared" si="37"/>
        <v>0.22839289447914712</v>
      </c>
    </row>
    <row r="826" spans="12:19" x14ac:dyDescent="0.25">
      <c r="L826" s="11">
        <v>812</v>
      </c>
      <c r="M826" s="4">
        <v>1.7196639723130276</v>
      </c>
      <c r="N826" s="4">
        <v>1.4441503331189769</v>
      </c>
      <c r="O826" s="4">
        <v>1.2834644743813111</v>
      </c>
      <c r="P826" s="4">
        <v>1.4604552740295147</v>
      </c>
      <c r="Q826" s="4">
        <v>1.2563633457872208</v>
      </c>
      <c r="R826" s="4">
        <f t="shared" si="36"/>
        <v>1.4267670775192909</v>
      </c>
      <c r="S826" s="2">
        <f t="shared" si="37"/>
        <v>0.42676707751929088</v>
      </c>
    </row>
    <row r="827" spans="12:19" x14ac:dyDescent="0.25">
      <c r="L827" s="11">
        <v>813</v>
      </c>
      <c r="M827" s="4">
        <v>1.5528763668113896</v>
      </c>
      <c r="N827" s="4">
        <v>0.99844790519702808</v>
      </c>
      <c r="O827" s="4">
        <v>1.3498223499515873</v>
      </c>
      <c r="P827" s="4">
        <v>1.4131026252200867</v>
      </c>
      <c r="Q827" s="4">
        <v>1.1642989898207474</v>
      </c>
      <c r="R827" s="4">
        <f t="shared" si="36"/>
        <v>1.310356398681858</v>
      </c>
      <c r="S827" s="2">
        <f t="shared" si="37"/>
        <v>0.31035639868185805</v>
      </c>
    </row>
    <row r="828" spans="12:19" x14ac:dyDescent="0.25">
      <c r="L828" s="11">
        <v>814</v>
      </c>
      <c r="M828" s="4">
        <v>2.0223433455109774</v>
      </c>
      <c r="N828" s="4">
        <v>1.233361958680395</v>
      </c>
      <c r="O828" s="4">
        <v>1.4331187090045769</v>
      </c>
      <c r="P828" s="4">
        <v>1.6050425353145199</v>
      </c>
      <c r="Q828" s="4">
        <v>1.2792060490926449</v>
      </c>
      <c r="R828" s="4">
        <f t="shared" si="36"/>
        <v>1.5229434418244607</v>
      </c>
      <c r="S828" s="2">
        <f t="shared" si="37"/>
        <v>0.52294344182446073</v>
      </c>
    </row>
    <row r="829" spans="12:19" x14ac:dyDescent="0.25">
      <c r="L829" s="11">
        <v>815</v>
      </c>
      <c r="M829" s="4">
        <v>0.87081933042065596</v>
      </c>
      <c r="N829" s="4">
        <v>1.0953709339724309</v>
      </c>
      <c r="O829" s="4">
        <v>1.0897365681377895</v>
      </c>
      <c r="P829" s="4">
        <v>1.0110460432003121</v>
      </c>
      <c r="Q829" s="4">
        <v>1.0502556830434535</v>
      </c>
      <c r="R829" s="4">
        <f t="shared" si="36"/>
        <v>1.0234131700806957</v>
      </c>
      <c r="S829" s="2">
        <f t="shared" si="37"/>
        <v>2.3413170080695656E-2</v>
      </c>
    </row>
    <row r="830" spans="12:19" x14ac:dyDescent="0.25">
      <c r="L830" s="11">
        <v>816</v>
      </c>
      <c r="M830" s="4">
        <v>2.0486842403675545</v>
      </c>
      <c r="N830" s="4">
        <v>1.2647145519365037</v>
      </c>
      <c r="O830" s="4">
        <v>1.5494681885914732</v>
      </c>
      <c r="P830" s="4">
        <v>1.7140140926694489</v>
      </c>
      <c r="Q830" s="4">
        <v>1.3095175923838873</v>
      </c>
      <c r="R830" s="4">
        <f t="shared" si="36"/>
        <v>1.5895334375563475</v>
      </c>
      <c r="S830" s="2">
        <f t="shared" si="37"/>
        <v>0.58953343755634746</v>
      </c>
    </row>
    <row r="831" spans="12:19" x14ac:dyDescent="0.25">
      <c r="L831" s="11">
        <v>817</v>
      </c>
      <c r="M831" s="4">
        <v>1.6341088857973749</v>
      </c>
      <c r="N831" s="4">
        <v>1.2355018416646013</v>
      </c>
      <c r="O831" s="4">
        <v>1.3486452809401994</v>
      </c>
      <c r="P831" s="4">
        <v>1.5093668573653103</v>
      </c>
      <c r="Q831" s="4">
        <v>1.3058155051926086</v>
      </c>
      <c r="R831" s="4">
        <f t="shared" si="36"/>
        <v>1.411736590829233</v>
      </c>
      <c r="S831" s="2">
        <f t="shared" si="37"/>
        <v>0.41173659082923297</v>
      </c>
    </row>
    <row r="832" spans="12:19" x14ac:dyDescent="0.25">
      <c r="L832" s="11">
        <v>818</v>
      </c>
      <c r="M832" s="4">
        <v>1.7941622053822528</v>
      </c>
      <c r="N832" s="4">
        <v>1.2233733143655183</v>
      </c>
      <c r="O832" s="4">
        <v>1.3913667576097593</v>
      </c>
      <c r="P832" s="4">
        <v>1.5399935515878118</v>
      </c>
      <c r="Q832" s="4">
        <v>1.2473560496137013</v>
      </c>
      <c r="R832" s="4">
        <f t="shared" si="36"/>
        <v>1.4465768860780674</v>
      </c>
      <c r="S832" s="2">
        <f t="shared" si="37"/>
        <v>0.44657688607806745</v>
      </c>
    </row>
    <row r="833" spans="12:19" x14ac:dyDescent="0.25">
      <c r="L833" s="11">
        <v>819</v>
      </c>
      <c r="M833" s="4">
        <v>1.7368977747140306</v>
      </c>
      <c r="N833" s="4">
        <v>1.1822162575932824</v>
      </c>
      <c r="O833" s="4">
        <v>1.265745567215729</v>
      </c>
      <c r="P833" s="4">
        <v>1.4308858409433529</v>
      </c>
      <c r="Q833" s="4">
        <v>1.2560215796131997</v>
      </c>
      <c r="R833" s="4">
        <f t="shared" si="36"/>
        <v>1.3776583856582336</v>
      </c>
      <c r="S833" s="2">
        <f t="shared" si="37"/>
        <v>0.37765838565823362</v>
      </c>
    </row>
    <row r="834" spans="12:19" x14ac:dyDescent="0.25">
      <c r="L834" s="11">
        <v>820</v>
      </c>
      <c r="M834" s="4">
        <v>2.4684816286728521</v>
      </c>
      <c r="N834" s="4">
        <v>1.6536903583298286</v>
      </c>
      <c r="O834" s="4">
        <v>1.4806996396065728</v>
      </c>
      <c r="P834" s="4">
        <v>1.7907159192446702</v>
      </c>
      <c r="Q834" s="4">
        <v>1.4352646592288847</v>
      </c>
      <c r="R834" s="4">
        <f t="shared" si="36"/>
        <v>1.7588834154379871</v>
      </c>
      <c r="S834" s="2">
        <f t="shared" si="37"/>
        <v>0.7588834154379871</v>
      </c>
    </row>
    <row r="835" spans="12:19" x14ac:dyDescent="0.25">
      <c r="L835" s="11">
        <v>821</v>
      </c>
      <c r="M835" s="4">
        <v>1.0785341533547412</v>
      </c>
      <c r="N835" s="4">
        <v>1.0672323253147507</v>
      </c>
      <c r="O835" s="4">
        <v>0.98330093392475304</v>
      </c>
      <c r="P835" s="4">
        <v>1.0202146795236557</v>
      </c>
      <c r="Q835" s="4">
        <v>1.0788536171250387</v>
      </c>
      <c r="R835" s="4">
        <f t="shared" si="36"/>
        <v>1.0418852141009765</v>
      </c>
      <c r="S835" s="2">
        <f t="shared" si="37"/>
        <v>4.1885214100976453E-2</v>
      </c>
    </row>
    <row r="836" spans="12:19" x14ac:dyDescent="0.25">
      <c r="L836" s="11">
        <v>822</v>
      </c>
      <c r="M836" s="4">
        <v>0.98824511574311236</v>
      </c>
      <c r="N836" s="4">
        <v>0.88864956378960636</v>
      </c>
      <c r="O836" s="4">
        <v>1.0721768435067573</v>
      </c>
      <c r="P836" s="4">
        <v>1.0098463846080938</v>
      </c>
      <c r="Q836" s="4">
        <v>1.0041742865014676</v>
      </c>
      <c r="R836" s="4">
        <f t="shared" si="36"/>
        <v>0.99994642831658376</v>
      </c>
      <c r="S836" s="2">
        <f t="shared" si="37"/>
        <v>-5.3571683416242522E-5</v>
      </c>
    </row>
    <row r="837" spans="12:19" x14ac:dyDescent="0.25">
      <c r="L837" s="11">
        <v>823</v>
      </c>
      <c r="M837" s="4">
        <v>1.920312276380693</v>
      </c>
      <c r="N837" s="4">
        <v>1.4598546567021236</v>
      </c>
      <c r="O837" s="4">
        <v>1.3834826268056597</v>
      </c>
      <c r="P837" s="4">
        <v>1.6575184395556077</v>
      </c>
      <c r="Q837" s="4">
        <v>1.2923115273969459</v>
      </c>
      <c r="R837" s="4">
        <f t="shared" si="36"/>
        <v>1.5406786570622133</v>
      </c>
      <c r="S837" s="2">
        <f t="shared" si="37"/>
        <v>0.5406786570622133</v>
      </c>
    </row>
    <row r="838" spans="12:19" x14ac:dyDescent="0.25">
      <c r="L838" s="11">
        <v>824</v>
      </c>
      <c r="M838" s="4">
        <v>1.7162041693797907</v>
      </c>
      <c r="N838" s="4">
        <v>1.1429722193339775</v>
      </c>
      <c r="O838" s="4">
        <v>1.3979444434483157</v>
      </c>
      <c r="P838" s="4">
        <v>1.4321507812379544</v>
      </c>
      <c r="Q838" s="4">
        <v>1.2600367373741814</v>
      </c>
      <c r="R838" s="4">
        <f t="shared" si="36"/>
        <v>1.400012601211764</v>
      </c>
      <c r="S838" s="2">
        <f t="shared" si="37"/>
        <v>0.40001260121176396</v>
      </c>
    </row>
    <row r="839" spans="12:19" x14ac:dyDescent="0.25">
      <c r="L839" s="11">
        <v>825</v>
      </c>
      <c r="M839" s="4">
        <v>1.1832079632680987</v>
      </c>
      <c r="N839" s="4">
        <v>1.3726949884787225</v>
      </c>
      <c r="O839" s="4">
        <v>1.3239877076478381</v>
      </c>
      <c r="P839" s="4">
        <v>1.2075101953869776</v>
      </c>
      <c r="Q839" s="4">
        <v>1.1108622765759995</v>
      </c>
      <c r="R839" s="4">
        <f t="shared" si="36"/>
        <v>1.2383158856238099</v>
      </c>
      <c r="S839" s="2">
        <f t="shared" si="37"/>
        <v>0.2383158856238099</v>
      </c>
    </row>
    <row r="840" spans="12:19" x14ac:dyDescent="0.25">
      <c r="L840" s="11">
        <v>826</v>
      </c>
      <c r="M840" s="4">
        <v>0.70401866407036984</v>
      </c>
      <c r="N840" s="4">
        <v>0.94086249452135218</v>
      </c>
      <c r="O840" s="4">
        <v>0.999892016929815</v>
      </c>
      <c r="P840" s="4">
        <v>0.89861382678550938</v>
      </c>
      <c r="Q840" s="4">
        <v>1.0057550128710926</v>
      </c>
      <c r="R840" s="4">
        <f t="shared" si="36"/>
        <v>0.91215541051924709</v>
      </c>
      <c r="S840" s="2">
        <f t="shared" si="37"/>
        <v>-8.784458948075291E-2</v>
      </c>
    </row>
    <row r="841" spans="12:19" x14ac:dyDescent="0.25">
      <c r="L841" s="11">
        <v>827</v>
      </c>
      <c r="M841" s="4">
        <v>1.17255415358239</v>
      </c>
      <c r="N841" s="4">
        <v>1.1138513715560052</v>
      </c>
      <c r="O841" s="4">
        <v>1.0305686316064664</v>
      </c>
      <c r="P841" s="4">
        <v>1.079082379338004</v>
      </c>
      <c r="Q841" s="4">
        <v>1.0811297959119497</v>
      </c>
      <c r="R841" s="4">
        <f t="shared" si="36"/>
        <v>1.0919020179416785</v>
      </c>
      <c r="S841" s="2">
        <f t="shared" si="37"/>
        <v>9.1902017941678515E-2</v>
      </c>
    </row>
    <row r="842" spans="12:19" x14ac:dyDescent="0.25">
      <c r="L842" s="11">
        <v>828</v>
      </c>
      <c r="M842" s="4">
        <v>2.1469346267397276</v>
      </c>
      <c r="N842" s="4">
        <v>1.3999057124785006</v>
      </c>
      <c r="O842" s="4">
        <v>1.3568037813356446</v>
      </c>
      <c r="P842" s="4">
        <v>1.6746005728159674</v>
      </c>
      <c r="Q842" s="4">
        <v>1.3609387009508331</v>
      </c>
      <c r="R842" s="4">
        <f t="shared" si="36"/>
        <v>1.5863517091062103</v>
      </c>
      <c r="S842" s="2">
        <f t="shared" si="37"/>
        <v>0.58635170910621026</v>
      </c>
    </row>
    <row r="843" spans="12:19" x14ac:dyDescent="0.25">
      <c r="L843" s="11">
        <v>829</v>
      </c>
      <c r="M843" s="4">
        <v>1.5612486227946372</v>
      </c>
      <c r="N843" s="4">
        <v>1.2055201943836151</v>
      </c>
      <c r="O843" s="4">
        <v>1.2970844737717078</v>
      </c>
      <c r="P843" s="4">
        <v>1.4351460155256022</v>
      </c>
      <c r="Q843" s="4">
        <v>1.2149844999760073</v>
      </c>
      <c r="R843" s="4">
        <f t="shared" si="36"/>
        <v>1.3470842834275971</v>
      </c>
      <c r="S843" s="2">
        <f t="shared" si="37"/>
        <v>0.34708428342759712</v>
      </c>
    </row>
    <row r="844" spans="12:19" x14ac:dyDescent="0.25">
      <c r="L844" s="11">
        <v>830</v>
      </c>
      <c r="M844" s="4">
        <v>1.0906990265070284</v>
      </c>
      <c r="N844" s="4">
        <v>1.201787667716645</v>
      </c>
      <c r="O844" s="4">
        <v>1.0636899926804455</v>
      </c>
      <c r="P844" s="4">
        <v>1.1449259593311425</v>
      </c>
      <c r="Q844" s="4">
        <v>1.0555851559652991</v>
      </c>
      <c r="R844" s="4">
        <f t="shared" si="36"/>
        <v>1.1064275775515673</v>
      </c>
      <c r="S844" s="2">
        <f t="shared" si="37"/>
        <v>0.10642757755156729</v>
      </c>
    </row>
    <row r="845" spans="12:19" x14ac:dyDescent="0.25">
      <c r="L845" s="11">
        <v>831</v>
      </c>
      <c r="M845" s="4">
        <v>1.3504957440452501</v>
      </c>
      <c r="N845" s="4">
        <v>1.1469599812994367</v>
      </c>
      <c r="O845" s="4">
        <v>1.0861013399098369</v>
      </c>
      <c r="P845" s="4">
        <v>1.2143094341847658</v>
      </c>
      <c r="Q845" s="4">
        <v>1.1340037798386611</v>
      </c>
      <c r="R845" s="4">
        <f t="shared" si="36"/>
        <v>1.1839747921625838</v>
      </c>
      <c r="S845" s="2">
        <f t="shared" si="37"/>
        <v>0.18397479216258383</v>
      </c>
    </row>
    <row r="846" spans="12:19" x14ac:dyDescent="0.25">
      <c r="L846" s="11">
        <v>832</v>
      </c>
      <c r="M846" s="4">
        <v>3.1423205789689921</v>
      </c>
      <c r="N846" s="4">
        <v>1.4178512004187149</v>
      </c>
      <c r="O846" s="4">
        <v>1.5327130323380136</v>
      </c>
      <c r="P846" s="4">
        <v>2.1498547428519199</v>
      </c>
      <c r="Q846" s="4">
        <v>1.518155563028657</v>
      </c>
      <c r="R846" s="4">
        <f t="shared" si="36"/>
        <v>1.9570315013243786</v>
      </c>
      <c r="S846" s="2">
        <f t="shared" si="37"/>
        <v>0.95703150132437864</v>
      </c>
    </row>
    <row r="847" spans="12:19" x14ac:dyDescent="0.25">
      <c r="L847" s="11">
        <v>833</v>
      </c>
      <c r="M847" s="4">
        <v>1.7291309859328921</v>
      </c>
      <c r="N847" s="4">
        <v>1.5780125541120507</v>
      </c>
      <c r="O847" s="4">
        <v>1.3606954697897145</v>
      </c>
      <c r="P847" s="4">
        <v>1.4875912775479248</v>
      </c>
      <c r="Q847" s="4">
        <v>1.2723874490764506</v>
      </c>
      <c r="R847" s="4">
        <f t="shared" ref="R847:R910" si="38">SUMPRODUCT(M847:Q847,$M$8:$Q$8)</f>
        <v>1.477403907101376</v>
      </c>
      <c r="S847" s="2">
        <f t="shared" si="37"/>
        <v>0.47740390710137603</v>
      </c>
    </row>
    <row r="848" spans="12:19" x14ac:dyDescent="0.25">
      <c r="L848" s="11">
        <v>834</v>
      </c>
      <c r="M848" s="4">
        <v>1.2006160284117617</v>
      </c>
      <c r="N848" s="4">
        <v>1.0198721639908721</v>
      </c>
      <c r="O848" s="4">
        <v>1.295679237595073</v>
      </c>
      <c r="P848" s="4">
        <v>1.1909520594654959</v>
      </c>
      <c r="Q848" s="4">
        <v>1.1022588240065325</v>
      </c>
      <c r="R848" s="4">
        <f t="shared" si="38"/>
        <v>1.1731766566894914</v>
      </c>
      <c r="S848" s="2">
        <f t="shared" ref="S848:S911" si="39">R848-1</f>
        <v>0.17317665668949145</v>
      </c>
    </row>
    <row r="849" spans="12:19" x14ac:dyDescent="0.25">
      <c r="L849" s="11">
        <v>835</v>
      </c>
      <c r="M849" s="4">
        <v>2.7541356955130079</v>
      </c>
      <c r="N849" s="4">
        <v>1.4550279280372898</v>
      </c>
      <c r="O849" s="4">
        <v>1.4292923600168097</v>
      </c>
      <c r="P849" s="4">
        <v>1.9839029393113077</v>
      </c>
      <c r="Q849" s="4">
        <v>1.4196949941862478</v>
      </c>
      <c r="R849" s="4">
        <f t="shared" si="38"/>
        <v>1.8079773938492412</v>
      </c>
      <c r="S849" s="2">
        <f t="shared" si="39"/>
        <v>0.80797739384924117</v>
      </c>
    </row>
    <row r="850" spans="12:19" x14ac:dyDescent="0.25">
      <c r="L850" s="11">
        <v>836</v>
      </c>
      <c r="M850" s="4">
        <v>1.5312918278070964</v>
      </c>
      <c r="N850" s="4">
        <v>1.313539581969817</v>
      </c>
      <c r="O850" s="4">
        <v>1.2390727462210938</v>
      </c>
      <c r="P850" s="4">
        <v>1.4824018024651613</v>
      </c>
      <c r="Q850" s="4">
        <v>1.2595987544192131</v>
      </c>
      <c r="R850" s="4">
        <f t="shared" si="38"/>
        <v>1.3630874296015645</v>
      </c>
      <c r="S850" s="2">
        <f t="shared" si="39"/>
        <v>0.36308742960156448</v>
      </c>
    </row>
    <row r="851" spans="12:19" x14ac:dyDescent="0.25">
      <c r="L851" s="11">
        <v>837</v>
      </c>
      <c r="M851" s="4">
        <v>2.2811246138441303</v>
      </c>
      <c r="N851" s="4">
        <v>1.4191076077582068</v>
      </c>
      <c r="O851" s="4">
        <v>1.4755436175992134</v>
      </c>
      <c r="P851" s="4">
        <v>1.7585769366769777</v>
      </c>
      <c r="Q851" s="4">
        <v>1.383340775618348</v>
      </c>
      <c r="R851" s="4">
        <f t="shared" si="38"/>
        <v>1.6661596158602126</v>
      </c>
      <c r="S851" s="2">
        <f t="shared" si="39"/>
        <v>0.66615961586021255</v>
      </c>
    </row>
    <row r="852" spans="12:19" x14ac:dyDescent="0.25">
      <c r="L852" s="11">
        <v>838</v>
      </c>
      <c r="M852" s="4">
        <v>1.4423776561073309</v>
      </c>
      <c r="N852" s="4">
        <v>1.2002518427816751</v>
      </c>
      <c r="O852" s="4">
        <v>1.1453285692026409</v>
      </c>
      <c r="P852" s="4">
        <v>1.3013027364776768</v>
      </c>
      <c r="Q852" s="4">
        <v>1.1791793902895678</v>
      </c>
      <c r="R852" s="4">
        <f t="shared" si="38"/>
        <v>1.2516979938985053</v>
      </c>
      <c r="S852" s="2">
        <f t="shared" si="39"/>
        <v>0.25169799389850533</v>
      </c>
    </row>
    <row r="853" spans="12:19" x14ac:dyDescent="0.25">
      <c r="L853" s="11">
        <v>839</v>
      </c>
      <c r="M853" s="4">
        <v>2.6512722185251576</v>
      </c>
      <c r="N853" s="4">
        <v>1.3481581498763946</v>
      </c>
      <c r="O853" s="4">
        <v>1.4494810762734665</v>
      </c>
      <c r="P853" s="4">
        <v>2.0108002509614296</v>
      </c>
      <c r="Q853" s="4">
        <v>1.4624377136200317</v>
      </c>
      <c r="R853" s="4">
        <f t="shared" si="38"/>
        <v>1.7892290440944658</v>
      </c>
      <c r="S853" s="2">
        <f t="shared" si="39"/>
        <v>0.78922904409446581</v>
      </c>
    </row>
    <row r="854" spans="12:19" x14ac:dyDescent="0.25">
      <c r="L854" s="11">
        <v>840</v>
      </c>
      <c r="M854" s="4">
        <v>1.1155089014172053</v>
      </c>
      <c r="N854" s="4">
        <v>0.9743455135377318</v>
      </c>
      <c r="O854" s="4">
        <v>1.1462579844214356</v>
      </c>
      <c r="P854" s="4">
        <v>1.1776916346869533</v>
      </c>
      <c r="Q854" s="4">
        <v>1.111891384484853</v>
      </c>
      <c r="R854" s="4">
        <f t="shared" si="38"/>
        <v>1.1123525300659538</v>
      </c>
      <c r="S854" s="2">
        <f t="shared" si="39"/>
        <v>0.1123525300659538</v>
      </c>
    </row>
    <row r="855" spans="12:19" x14ac:dyDescent="0.25">
      <c r="L855" s="11">
        <v>841</v>
      </c>
      <c r="M855" s="4">
        <v>1.1540541065025618</v>
      </c>
      <c r="N855" s="4">
        <v>1.049003375900305</v>
      </c>
      <c r="O855" s="4">
        <v>1.2223891008138486</v>
      </c>
      <c r="P855" s="4">
        <v>1.1590459279401526</v>
      </c>
      <c r="Q855" s="4">
        <v>1.0795700642568438</v>
      </c>
      <c r="R855" s="4">
        <f t="shared" si="38"/>
        <v>1.1400564469036529</v>
      </c>
      <c r="S855" s="2">
        <f t="shared" si="39"/>
        <v>0.14005644690365293</v>
      </c>
    </row>
    <row r="856" spans="12:19" x14ac:dyDescent="0.25">
      <c r="L856" s="11">
        <v>842</v>
      </c>
      <c r="M856" s="4">
        <v>1.8230554538462649</v>
      </c>
      <c r="N856" s="4">
        <v>1.4660057494093128</v>
      </c>
      <c r="O856" s="4">
        <v>1.5211912410034911</v>
      </c>
      <c r="P856" s="4">
        <v>1.6246112391928029</v>
      </c>
      <c r="Q856" s="4">
        <v>1.2602612547572025</v>
      </c>
      <c r="R856" s="4">
        <f t="shared" si="38"/>
        <v>1.5424157223229642</v>
      </c>
      <c r="S856" s="2">
        <f t="shared" si="39"/>
        <v>0.5424157223229642</v>
      </c>
    </row>
    <row r="857" spans="12:19" x14ac:dyDescent="0.25">
      <c r="L857" s="11">
        <v>843</v>
      </c>
      <c r="M857" s="4">
        <v>0.8724315903748302</v>
      </c>
      <c r="N857" s="4">
        <v>0.94033551058947862</v>
      </c>
      <c r="O857" s="4">
        <v>1.1806887544157001</v>
      </c>
      <c r="P857" s="4">
        <v>0.92120525036996581</v>
      </c>
      <c r="Q857" s="4">
        <v>0.99287296085470544</v>
      </c>
      <c r="R857" s="4">
        <f t="shared" si="38"/>
        <v>0.99085859891011752</v>
      </c>
      <c r="S857" s="2">
        <f t="shared" si="39"/>
        <v>-9.1414010898824838E-3</v>
      </c>
    </row>
    <row r="858" spans="12:19" x14ac:dyDescent="0.25">
      <c r="L858" s="11">
        <v>844</v>
      </c>
      <c r="M858" s="4">
        <v>2.5922192256794334</v>
      </c>
      <c r="N858" s="4">
        <v>1.5149624227426168</v>
      </c>
      <c r="O858" s="4">
        <v>1.3971159601050298</v>
      </c>
      <c r="P858" s="4">
        <v>1.9254520986735317</v>
      </c>
      <c r="Q858" s="4">
        <v>1.4006073956552603</v>
      </c>
      <c r="R858" s="4">
        <f t="shared" si="38"/>
        <v>1.7620892563013131</v>
      </c>
      <c r="S858" s="2">
        <f t="shared" si="39"/>
        <v>0.76208925630131308</v>
      </c>
    </row>
    <row r="859" spans="12:19" x14ac:dyDescent="0.25">
      <c r="L859" s="11">
        <v>845</v>
      </c>
      <c r="M859" s="4">
        <v>2.3426450014582061</v>
      </c>
      <c r="N859" s="4">
        <v>1.5007344962608014</v>
      </c>
      <c r="O859" s="4">
        <v>1.4508677402845633</v>
      </c>
      <c r="P859" s="4">
        <v>1.851380449330509</v>
      </c>
      <c r="Q859" s="4">
        <v>1.3850842637378604</v>
      </c>
      <c r="R859" s="4">
        <f t="shared" si="38"/>
        <v>1.7050391849043252</v>
      </c>
      <c r="S859" s="2">
        <f t="shared" si="39"/>
        <v>0.70503918490432516</v>
      </c>
    </row>
    <row r="860" spans="12:19" x14ac:dyDescent="0.25">
      <c r="L860" s="11">
        <v>846</v>
      </c>
      <c r="M860" s="4">
        <v>1.972896642874808</v>
      </c>
      <c r="N860" s="4">
        <v>1.2730526161104248</v>
      </c>
      <c r="O860" s="4">
        <v>1.4228899549258085</v>
      </c>
      <c r="P860" s="4">
        <v>1.5940246979416586</v>
      </c>
      <c r="Q860" s="4">
        <v>1.2917214577936302</v>
      </c>
      <c r="R860" s="4">
        <f t="shared" si="38"/>
        <v>1.5172629756700209</v>
      </c>
      <c r="S860" s="2">
        <f t="shared" si="39"/>
        <v>0.51726297567002089</v>
      </c>
    </row>
    <row r="861" spans="12:19" x14ac:dyDescent="0.25">
      <c r="L861" s="11">
        <v>847</v>
      </c>
      <c r="M861" s="4">
        <v>0.86125720096198044</v>
      </c>
      <c r="N861" s="4">
        <v>1.0328860923750416</v>
      </c>
      <c r="O861" s="4">
        <v>1.1068658567134517</v>
      </c>
      <c r="P861" s="4">
        <v>1.0277375965290778</v>
      </c>
      <c r="Q861" s="4">
        <v>1.069436174488712</v>
      </c>
      <c r="R861" s="4">
        <f t="shared" si="38"/>
        <v>1.0227873071320241</v>
      </c>
      <c r="S861" s="2">
        <f t="shared" si="39"/>
        <v>2.2787307132024148E-2</v>
      </c>
    </row>
    <row r="862" spans="12:19" x14ac:dyDescent="0.25">
      <c r="L862" s="11">
        <v>848</v>
      </c>
      <c r="M862" s="4">
        <v>1.4266158525719612</v>
      </c>
      <c r="N862" s="4">
        <v>1.4897375532455028</v>
      </c>
      <c r="O862" s="4">
        <v>1.2476694992274346</v>
      </c>
      <c r="P862" s="4">
        <v>1.2818320700539068</v>
      </c>
      <c r="Q862" s="4">
        <v>1.1903310062476726</v>
      </c>
      <c r="R862" s="4">
        <f t="shared" si="38"/>
        <v>1.3177885691670144</v>
      </c>
      <c r="S862" s="2">
        <f t="shared" si="39"/>
        <v>0.31778856916701437</v>
      </c>
    </row>
    <row r="863" spans="12:19" x14ac:dyDescent="0.25">
      <c r="L863" s="11">
        <v>849</v>
      </c>
      <c r="M863" s="4">
        <v>0.6882999610263868</v>
      </c>
      <c r="N863" s="4">
        <v>0.8843610785107141</v>
      </c>
      <c r="O863" s="4">
        <v>1.0148770560243414</v>
      </c>
      <c r="P863" s="4">
        <v>0.84396807498164417</v>
      </c>
      <c r="Q863" s="4">
        <v>0.94789456049514154</v>
      </c>
      <c r="R863" s="4">
        <f t="shared" si="38"/>
        <v>0.88097336168614981</v>
      </c>
      <c r="S863" s="2">
        <f t="shared" si="39"/>
        <v>-0.11902663831385019</v>
      </c>
    </row>
    <row r="864" spans="12:19" x14ac:dyDescent="0.25">
      <c r="L864" s="11">
        <v>850</v>
      </c>
      <c r="M864" s="4">
        <v>1.0207499401252569</v>
      </c>
      <c r="N864" s="4">
        <v>0.86454101337501443</v>
      </c>
      <c r="O864" s="4">
        <v>1.1408697902692129</v>
      </c>
      <c r="P864" s="4">
        <v>1.0431210800132149</v>
      </c>
      <c r="Q864" s="4">
        <v>1.0373560029898929</v>
      </c>
      <c r="R864" s="4">
        <f t="shared" si="38"/>
        <v>1.0323249255313003</v>
      </c>
      <c r="S864" s="2">
        <f t="shared" si="39"/>
        <v>3.2324925531300286E-2</v>
      </c>
    </row>
    <row r="865" spans="12:19" x14ac:dyDescent="0.25">
      <c r="L865" s="11">
        <v>851</v>
      </c>
      <c r="M865" s="4">
        <v>1.7939484230727329</v>
      </c>
      <c r="N865" s="4">
        <v>1.3460505495922175</v>
      </c>
      <c r="O865" s="4">
        <v>1.3509567829498033</v>
      </c>
      <c r="P865" s="4">
        <v>1.5527209707130198</v>
      </c>
      <c r="Q865" s="4">
        <v>1.2623370812996719</v>
      </c>
      <c r="R865" s="4">
        <f t="shared" si="38"/>
        <v>1.4621097576726307</v>
      </c>
      <c r="S865" s="2">
        <f t="shared" si="39"/>
        <v>0.46210975767263074</v>
      </c>
    </row>
    <row r="866" spans="12:19" x14ac:dyDescent="0.25">
      <c r="L866" s="11">
        <v>852</v>
      </c>
      <c r="M866" s="4">
        <v>1.4442354152392245</v>
      </c>
      <c r="N866" s="4">
        <v>1.0800524796939381</v>
      </c>
      <c r="O866" s="4">
        <v>1.2669147086523349</v>
      </c>
      <c r="P866" s="4">
        <v>1.2355819003323871</v>
      </c>
      <c r="Q866" s="4">
        <v>1.1771627379287779</v>
      </c>
      <c r="R866" s="4">
        <f t="shared" si="38"/>
        <v>1.247929296344195</v>
      </c>
      <c r="S866" s="2">
        <f t="shared" si="39"/>
        <v>0.24792929634419503</v>
      </c>
    </row>
    <row r="867" spans="12:19" x14ac:dyDescent="0.25">
      <c r="L867" s="11">
        <v>853</v>
      </c>
      <c r="M867" s="4">
        <v>1.6531305071950408</v>
      </c>
      <c r="N867" s="4">
        <v>1.4085327880288394</v>
      </c>
      <c r="O867" s="4">
        <v>1.2644904855716492</v>
      </c>
      <c r="P867" s="4">
        <v>1.5453921148794079</v>
      </c>
      <c r="Q867" s="4">
        <v>1.3007837419766874</v>
      </c>
      <c r="R867" s="4">
        <f t="shared" si="38"/>
        <v>1.4295800353562518</v>
      </c>
      <c r="S867" s="2">
        <f t="shared" si="39"/>
        <v>0.42958003535625178</v>
      </c>
    </row>
    <row r="868" spans="12:19" x14ac:dyDescent="0.25">
      <c r="L868" s="11">
        <v>854</v>
      </c>
      <c r="M868" s="4">
        <v>2.129105798576306</v>
      </c>
      <c r="N868" s="4">
        <v>1.263439219033722</v>
      </c>
      <c r="O868" s="4">
        <v>1.2629105999043388</v>
      </c>
      <c r="P868" s="4">
        <v>1.7234753697559035</v>
      </c>
      <c r="Q868" s="4">
        <v>1.3298560847451599</v>
      </c>
      <c r="R868" s="4">
        <f t="shared" si="38"/>
        <v>1.5424243281705561</v>
      </c>
      <c r="S868" s="2">
        <f t="shared" si="39"/>
        <v>0.54242432817055608</v>
      </c>
    </row>
    <row r="869" spans="12:19" x14ac:dyDescent="0.25">
      <c r="L869" s="11">
        <v>855</v>
      </c>
      <c r="M869" s="4">
        <v>2.6980402831950383</v>
      </c>
      <c r="N869" s="4">
        <v>1.5079250085218079</v>
      </c>
      <c r="O869" s="4">
        <v>1.8050378808475478</v>
      </c>
      <c r="P869" s="4">
        <v>2.0536161375580146</v>
      </c>
      <c r="Q869" s="4">
        <v>1.4394122835210286</v>
      </c>
      <c r="R869" s="4">
        <f t="shared" si="38"/>
        <v>1.9137629177154514</v>
      </c>
      <c r="S869" s="2">
        <f t="shared" si="39"/>
        <v>0.91376291771545137</v>
      </c>
    </row>
    <row r="870" spans="12:19" x14ac:dyDescent="0.25">
      <c r="L870" s="11">
        <v>856</v>
      </c>
      <c r="M870" s="4">
        <v>1.5709196650322301</v>
      </c>
      <c r="N870" s="4">
        <v>1.1934775369006008</v>
      </c>
      <c r="O870" s="4">
        <v>1.2746269495721054</v>
      </c>
      <c r="P870" s="4">
        <v>1.2936900729847292</v>
      </c>
      <c r="Q870" s="4">
        <v>1.2015043001544237</v>
      </c>
      <c r="R870" s="4">
        <f t="shared" si="38"/>
        <v>1.3097975661548262</v>
      </c>
      <c r="S870" s="2">
        <f t="shared" si="39"/>
        <v>0.30979756615482623</v>
      </c>
    </row>
    <row r="871" spans="12:19" x14ac:dyDescent="0.25">
      <c r="L871" s="11">
        <v>857</v>
      </c>
      <c r="M871" s="4">
        <v>1.8298286328479354</v>
      </c>
      <c r="N871" s="4">
        <v>1.2849891704057341</v>
      </c>
      <c r="O871" s="4">
        <v>1.4017577743379297</v>
      </c>
      <c r="P871" s="4">
        <v>1.621323639110805</v>
      </c>
      <c r="Q871" s="4">
        <v>1.2902266777722868</v>
      </c>
      <c r="R871" s="4">
        <f t="shared" si="38"/>
        <v>1.4911983353254408</v>
      </c>
      <c r="S871" s="2">
        <f t="shared" si="39"/>
        <v>0.49119833532544077</v>
      </c>
    </row>
    <row r="872" spans="12:19" x14ac:dyDescent="0.25">
      <c r="L872" s="11">
        <v>858</v>
      </c>
      <c r="M872" s="4">
        <v>1.4361340797925377</v>
      </c>
      <c r="N872" s="4">
        <v>1.2818270993783942</v>
      </c>
      <c r="O872" s="4">
        <v>1.2432978345525525</v>
      </c>
      <c r="P872" s="4">
        <v>1.3262494115103864</v>
      </c>
      <c r="Q872" s="4">
        <v>1.181944884133447</v>
      </c>
      <c r="R872" s="4">
        <f t="shared" si="38"/>
        <v>1.2927625523378239</v>
      </c>
      <c r="S872" s="2">
        <f t="shared" si="39"/>
        <v>0.29276255233782389</v>
      </c>
    </row>
    <row r="873" spans="12:19" x14ac:dyDescent="0.25">
      <c r="L873" s="11">
        <v>859</v>
      </c>
      <c r="M873" s="4">
        <v>0.77889558258825919</v>
      </c>
      <c r="N873" s="4">
        <v>0.96450524349010214</v>
      </c>
      <c r="O873" s="4">
        <v>0.96947357948517998</v>
      </c>
      <c r="P873" s="4">
        <v>0.8555580253757189</v>
      </c>
      <c r="Q873" s="4">
        <v>0.93155931646401102</v>
      </c>
      <c r="R873" s="4">
        <f t="shared" si="38"/>
        <v>0.90006893433226554</v>
      </c>
      <c r="S873" s="2">
        <f t="shared" si="39"/>
        <v>-9.9931065667734464E-2</v>
      </c>
    </row>
    <row r="874" spans="12:19" x14ac:dyDescent="0.25">
      <c r="L874" s="11">
        <v>860</v>
      </c>
      <c r="M874" s="4">
        <v>2.4566999483608898</v>
      </c>
      <c r="N874" s="4">
        <v>1.4992662845009377</v>
      </c>
      <c r="O874" s="4">
        <v>1.3470817816705321</v>
      </c>
      <c r="P874" s="4">
        <v>1.8347465010497357</v>
      </c>
      <c r="Q874" s="4">
        <v>1.4171366467585171</v>
      </c>
      <c r="R874" s="4">
        <f t="shared" si="38"/>
        <v>1.7052663287669922</v>
      </c>
      <c r="S874" s="2">
        <f t="shared" si="39"/>
        <v>0.70526632876699225</v>
      </c>
    </row>
    <row r="875" spans="12:19" x14ac:dyDescent="0.25">
      <c r="L875" s="11">
        <v>861</v>
      </c>
      <c r="M875" s="4">
        <v>0.92657219963706572</v>
      </c>
      <c r="N875" s="4">
        <v>0.99207047894166422</v>
      </c>
      <c r="O875" s="4">
        <v>0.98963260561496247</v>
      </c>
      <c r="P875" s="4">
        <v>0.98091101296424077</v>
      </c>
      <c r="Q875" s="4">
        <v>1.0064716567341752</v>
      </c>
      <c r="R875" s="4">
        <f t="shared" si="38"/>
        <v>0.97904873365178158</v>
      </c>
      <c r="S875" s="2">
        <f t="shared" si="39"/>
        <v>-2.0951266348218422E-2</v>
      </c>
    </row>
    <row r="876" spans="12:19" x14ac:dyDescent="0.25">
      <c r="L876" s="11">
        <v>862</v>
      </c>
      <c r="M876" s="4">
        <v>0.81964110127050216</v>
      </c>
      <c r="N876" s="4">
        <v>1.1392565625144728</v>
      </c>
      <c r="O876" s="4">
        <v>1.0665918481627272</v>
      </c>
      <c r="P876" s="4">
        <v>0.99448403528293561</v>
      </c>
      <c r="Q876" s="4">
        <v>1.0316462813705569</v>
      </c>
      <c r="R876" s="4">
        <f t="shared" si="38"/>
        <v>1.0077455250098779</v>
      </c>
      <c r="S876" s="2">
        <f t="shared" si="39"/>
        <v>7.7455250098779072E-3</v>
      </c>
    </row>
    <row r="877" spans="12:19" x14ac:dyDescent="0.25">
      <c r="L877" s="11">
        <v>863</v>
      </c>
      <c r="M877" s="4">
        <v>1.0923307561476554</v>
      </c>
      <c r="N877" s="4">
        <v>1.2606156955298236</v>
      </c>
      <c r="O877" s="4">
        <v>1.1650691650723048</v>
      </c>
      <c r="P877" s="4">
        <v>1.080030457859827</v>
      </c>
      <c r="Q877" s="4">
        <v>1.0974422968566195</v>
      </c>
      <c r="R877" s="4">
        <f t="shared" si="38"/>
        <v>1.1352668945981459</v>
      </c>
      <c r="S877" s="2">
        <f t="shared" si="39"/>
        <v>0.13526689459814589</v>
      </c>
    </row>
    <row r="878" spans="12:19" x14ac:dyDescent="0.25">
      <c r="L878" s="11">
        <v>864</v>
      </c>
      <c r="M878" s="4">
        <v>1.3337714146414723</v>
      </c>
      <c r="N878" s="4">
        <v>1.0256975246406885</v>
      </c>
      <c r="O878" s="4">
        <v>1.2288012548152134</v>
      </c>
      <c r="P878" s="4">
        <v>1.2605906084135636</v>
      </c>
      <c r="Q878" s="4">
        <v>1.1462122439574409</v>
      </c>
      <c r="R878" s="4">
        <f t="shared" si="38"/>
        <v>1.2073601276951975</v>
      </c>
      <c r="S878" s="2">
        <f t="shared" si="39"/>
        <v>0.20736012769519752</v>
      </c>
    </row>
    <row r="879" spans="12:19" x14ac:dyDescent="0.25">
      <c r="L879" s="11">
        <v>865</v>
      </c>
      <c r="M879" s="4">
        <v>2.5916142907371702</v>
      </c>
      <c r="N879" s="4">
        <v>1.5338546069470465</v>
      </c>
      <c r="O879" s="4">
        <v>1.2759853494817626</v>
      </c>
      <c r="P879" s="4">
        <v>1.9092896497396932</v>
      </c>
      <c r="Q879" s="4">
        <v>1.446683359648802</v>
      </c>
      <c r="R879" s="4">
        <f t="shared" si="38"/>
        <v>1.7416088714427986</v>
      </c>
      <c r="S879" s="2">
        <f t="shared" si="39"/>
        <v>0.74160887144279863</v>
      </c>
    </row>
    <row r="880" spans="12:19" x14ac:dyDescent="0.25">
      <c r="L880" s="11">
        <v>866</v>
      </c>
      <c r="M880" s="4">
        <v>1.7581304454106819</v>
      </c>
      <c r="N880" s="4">
        <v>1.3238819525583272</v>
      </c>
      <c r="O880" s="4">
        <v>1.1826101643769558</v>
      </c>
      <c r="P880" s="4">
        <v>1.4602842816426067</v>
      </c>
      <c r="Q880" s="4">
        <v>1.2613154679574672</v>
      </c>
      <c r="R880" s="4">
        <f t="shared" si="38"/>
        <v>1.3917891974202468</v>
      </c>
      <c r="S880" s="2">
        <f t="shared" si="39"/>
        <v>0.39178919742024676</v>
      </c>
    </row>
    <row r="881" spans="12:19" x14ac:dyDescent="0.25">
      <c r="L881" s="11">
        <v>867</v>
      </c>
      <c r="M881" s="4">
        <v>1.6732069815346282</v>
      </c>
      <c r="N881" s="4">
        <v>1.2494784944956554</v>
      </c>
      <c r="O881" s="4">
        <v>1.3483508677035303</v>
      </c>
      <c r="P881" s="4">
        <v>1.4759511724594268</v>
      </c>
      <c r="Q881" s="4">
        <v>1.2064575653100063</v>
      </c>
      <c r="R881" s="4">
        <f t="shared" si="38"/>
        <v>1.3953336121243969</v>
      </c>
      <c r="S881" s="2">
        <f t="shared" si="39"/>
        <v>0.39533361212439688</v>
      </c>
    </row>
    <row r="882" spans="12:19" x14ac:dyDescent="0.25">
      <c r="L882" s="11">
        <v>868</v>
      </c>
      <c r="M882" s="4">
        <v>0.9100478779782234</v>
      </c>
      <c r="N882" s="4">
        <v>0.84358356874269669</v>
      </c>
      <c r="O882" s="4">
        <v>1.032468561226946</v>
      </c>
      <c r="P882" s="4">
        <v>0.96426411627851427</v>
      </c>
      <c r="Q882" s="4">
        <v>0.99760034544917031</v>
      </c>
      <c r="R882" s="4">
        <f t="shared" si="38"/>
        <v>0.95702603569374656</v>
      </c>
      <c r="S882" s="2">
        <f t="shared" si="39"/>
        <v>-4.2973964306253443E-2</v>
      </c>
    </row>
    <row r="883" spans="12:19" x14ac:dyDescent="0.25">
      <c r="L883" s="11">
        <v>869</v>
      </c>
      <c r="M883" s="4">
        <v>2.9400912988299663</v>
      </c>
      <c r="N883" s="4">
        <v>1.4888022014968609</v>
      </c>
      <c r="O883" s="4">
        <v>1.6870022482787359</v>
      </c>
      <c r="P883" s="4">
        <v>2.2289011781774701</v>
      </c>
      <c r="Q883" s="4">
        <v>1.5097339327101167</v>
      </c>
      <c r="R883" s="4">
        <f t="shared" si="38"/>
        <v>1.9801743206392324</v>
      </c>
      <c r="S883" s="2">
        <f t="shared" si="39"/>
        <v>0.98017432063923238</v>
      </c>
    </row>
    <row r="884" spans="12:19" x14ac:dyDescent="0.25">
      <c r="L884" s="11">
        <v>870</v>
      </c>
      <c r="M884" s="4">
        <v>1.1812118247696468</v>
      </c>
      <c r="N884" s="4">
        <v>1.0758032787906768</v>
      </c>
      <c r="O884" s="4">
        <v>1.2033041868055905</v>
      </c>
      <c r="P884" s="4">
        <v>1.1893887636258891</v>
      </c>
      <c r="Q884" s="4">
        <v>1.0791868041849906</v>
      </c>
      <c r="R884" s="4">
        <f t="shared" si="38"/>
        <v>1.1513498129639983</v>
      </c>
      <c r="S884" s="2">
        <f t="shared" si="39"/>
        <v>0.1513498129639983</v>
      </c>
    </row>
    <row r="885" spans="12:19" x14ac:dyDescent="0.25">
      <c r="L885" s="11">
        <v>871</v>
      </c>
      <c r="M885" s="4">
        <v>1.024064746006675</v>
      </c>
      <c r="N885" s="4">
        <v>1.1402383018014632</v>
      </c>
      <c r="O885" s="4">
        <v>1.2555020733771043</v>
      </c>
      <c r="P885" s="4">
        <v>1.1795429802468989</v>
      </c>
      <c r="Q885" s="4">
        <v>1.1293250344623467</v>
      </c>
      <c r="R885" s="4">
        <f t="shared" si="38"/>
        <v>1.1509225808280525</v>
      </c>
      <c r="S885" s="2">
        <f t="shared" si="39"/>
        <v>0.15092258082805254</v>
      </c>
    </row>
    <row r="886" spans="12:19" x14ac:dyDescent="0.25">
      <c r="L886" s="11">
        <v>872</v>
      </c>
      <c r="M886" s="4">
        <v>0.96557082732322974</v>
      </c>
      <c r="N886" s="4">
        <v>1.0218282352469186</v>
      </c>
      <c r="O886" s="4">
        <v>1.1758013217274759</v>
      </c>
      <c r="P886" s="4">
        <v>0.98335962997442361</v>
      </c>
      <c r="Q886" s="4">
        <v>1.0317624974576576</v>
      </c>
      <c r="R886" s="4">
        <f t="shared" si="38"/>
        <v>1.0416233482407786</v>
      </c>
      <c r="S886" s="2">
        <f t="shared" si="39"/>
        <v>4.1623348240778624E-2</v>
      </c>
    </row>
    <row r="887" spans="12:19" x14ac:dyDescent="0.25">
      <c r="L887" s="11">
        <v>873</v>
      </c>
      <c r="M887" s="4">
        <v>1.218882040454333</v>
      </c>
      <c r="N887" s="4">
        <v>1.2016081074444018</v>
      </c>
      <c r="O887" s="4">
        <v>1.2723660588122976</v>
      </c>
      <c r="P887" s="4">
        <v>1.1895235056713109</v>
      </c>
      <c r="Q887" s="4">
        <v>1.1354262014636329</v>
      </c>
      <c r="R887" s="4">
        <f t="shared" si="38"/>
        <v>1.2065727155397521</v>
      </c>
      <c r="S887" s="2">
        <f t="shared" si="39"/>
        <v>0.20657271553975209</v>
      </c>
    </row>
    <row r="888" spans="12:19" x14ac:dyDescent="0.25">
      <c r="L888" s="11">
        <v>874</v>
      </c>
      <c r="M888" s="4">
        <v>1.7587319257539045</v>
      </c>
      <c r="N888" s="4">
        <v>1.4274301182404043</v>
      </c>
      <c r="O888" s="4">
        <v>1.2152950452956781</v>
      </c>
      <c r="P888" s="4">
        <v>1.5261054397977494</v>
      </c>
      <c r="Q888" s="4">
        <v>1.2523085310731723</v>
      </c>
      <c r="R888" s="4">
        <f t="shared" si="38"/>
        <v>1.4282333941490661</v>
      </c>
      <c r="S888" s="2">
        <f t="shared" si="39"/>
        <v>0.42823339414906614</v>
      </c>
    </row>
    <row r="889" spans="12:19" x14ac:dyDescent="0.25">
      <c r="L889" s="11">
        <v>875</v>
      </c>
      <c r="M889" s="4">
        <v>0.89187051751611046</v>
      </c>
      <c r="N889" s="4">
        <v>1.0246763530764993</v>
      </c>
      <c r="O889" s="4">
        <v>1.0439808884916753</v>
      </c>
      <c r="P889" s="4">
        <v>0.95019114340104227</v>
      </c>
      <c r="Q889" s="4">
        <v>1.0263383378510544</v>
      </c>
      <c r="R889" s="4">
        <f t="shared" si="38"/>
        <v>0.9879911250090605</v>
      </c>
      <c r="S889" s="2">
        <f t="shared" si="39"/>
        <v>-1.20088749909395E-2</v>
      </c>
    </row>
    <row r="890" spans="12:19" x14ac:dyDescent="0.25">
      <c r="L890" s="11">
        <v>876</v>
      </c>
      <c r="M890" s="4">
        <v>1.5611972343645548</v>
      </c>
      <c r="N890" s="4">
        <v>1.1843318390222735</v>
      </c>
      <c r="O890" s="4">
        <v>1.1850884714097629</v>
      </c>
      <c r="P890" s="4">
        <v>1.4756631003788534</v>
      </c>
      <c r="Q890" s="4">
        <v>1.224865526139014</v>
      </c>
      <c r="R890" s="4">
        <f t="shared" si="38"/>
        <v>1.3271175107845321</v>
      </c>
      <c r="S890" s="2">
        <f t="shared" si="39"/>
        <v>0.32711751078453211</v>
      </c>
    </row>
    <row r="891" spans="12:19" x14ac:dyDescent="0.25">
      <c r="L891" s="11">
        <v>877</v>
      </c>
      <c r="M891" s="4">
        <v>0.85854357582596952</v>
      </c>
      <c r="N891" s="4">
        <v>1.0422836161736788</v>
      </c>
      <c r="O891" s="4">
        <v>1.0939231123856183</v>
      </c>
      <c r="P891" s="4">
        <v>0.96015943953927618</v>
      </c>
      <c r="Q891" s="4">
        <v>0.98368287416152822</v>
      </c>
      <c r="R891" s="4">
        <f t="shared" si="38"/>
        <v>0.98994688837383704</v>
      </c>
      <c r="S891" s="2">
        <f t="shared" si="39"/>
        <v>-1.0053111626162958E-2</v>
      </c>
    </row>
    <row r="892" spans="12:19" x14ac:dyDescent="0.25">
      <c r="L892" s="11">
        <v>878</v>
      </c>
      <c r="M892" s="4">
        <v>1.291979884201329</v>
      </c>
      <c r="N892" s="4">
        <v>0.98464204950384304</v>
      </c>
      <c r="O892" s="4">
        <v>1.3685927593056681</v>
      </c>
      <c r="P892" s="4">
        <v>1.2469182364075697</v>
      </c>
      <c r="Q892" s="4">
        <v>1.1892833261961504</v>
      </c>
      <c r="R892" s="4">
        <f t="shared" si="38"/>
        <v>1.2316109108084512</v>
      </c>
      <c r="S892" s="2">
        <f t="shared" si="39"/>
        <v>0.2316109108084512</v>
      </c>
    </row>
    <row r="893" spans="12:19" x14ac:dyDescent="0.25">
      <c r="L893" s="11">
        <v>879</v>
      </c>
      <c r="M893" s="4">
        <v>2.1065661444142907</v>
      </c>
      <c r="N893" s="4">
        <v>1.5530358631530456</v>
      </c>
      <c r="O893" s="4">
        <v>1.3392012631681274</v>
      </c>
      <c r="P893" s="4">
        <v>1.6164585262015339</v>
      </c>
      <c r="Q893" s="4">
        <v>1.329509460547484</v>
      </c>
      <c r="R893" s="4">
        <f t="shared" si="38"/>
        <v>1.5806019970568386</v>
      </c>
      <c r="S893" s="2">
        <f t="shared" si="39"/>
        <v>0.58060199705683857</v>
      </c>
    </row>
    <row r="894" spans="12:19" x14ac:dyDescent="0.25">
      <c r="L894" s="11">
        <v>880</v>
      </c>
      <c r="M894" s="4">
        <v>2.5925462140833417</v>
      </c>
      <c r="N894" s="4">
        <v>1.820092109040591</v>
      </c>
      <c r="O894" s="4">
        <v>1.6865556862001279</v>
      </c>
      <c r="P894" s="4">
        <v>1.9601230294562737</v>
      </c>
      <c r="Q894" s="4">
        <v>1.4076427153874524</v>
      </c>
      <c r="R894" s="4">
        <f t="shared" si="38"/>
        <v>1.889130700170832</v>
      </c>
      <c r="S894" s="2">
        <f t="shared" si="39"/>
        <v>0.88913070017083196</v>
      </c>
    </row>
    <row r="895" spans="12:19" x14ac:dyDescent="0.25">
      <c r="L895" s="11">
        <v>881</v>
      </c>
      <c r="M895" s="4">
        <v>1.9356302879954237</v>
      </c>
      <c r="N895" s="4">
        <v>1.236737247333171</v>
      </c>
      <c r="O895" s="4">
        <v>1.4400248668945572</v>
      </c>
      <c r="P895" s="4">
        <v>1.6049914084671253</v>
      </c>
      <c r="Q895" s="4">
        <v>1.2778254684117123</v>
      </c>
      <c r="R895" s="4">
        <f t="shared" si="38"/>
        <v>1.507729349468439</v>
      </c>
      <c r="S895" s="2">
        <f t="shared" si="39"/>
        <v>0.50772934946843895</v>
      </c>
    </row>
    <row r="896" spans="12:19" x14ac:dyDescent="0.25">
      <c r="L896" s="11">
        <v>882</v>
      </c>
      <c r="M896" s="4">
        <v>1.6773135853469991</v>
      </c>
      <c r="N896" s="4">
        <v>1.5331130764455811</v>
      </c>
      <c r="O896" s="4">
        <v>1.1274009267578606</v>
      </c>
      <c r="P896" s="4">
        <v>1.4187946583784423</v>
      </c>
      <c r="Q896" s="4">
        <v>1.2380970137311234</v>
      </c>
      <c r="R896" s="4">
        <f t="shared" si="38"/>
        <v>1.3830884833650947</v>
      </c>
      <c r="S896" s="2">
        <f t="shared" si="39"/>
        <v>0.38308848336509471</v>
      </c>
    </row>
    <row r="897" spans="12:19" x14ac:dyDescent="0.25">
      <c r="L897" s="11">
        <v>883</v>
      </c>
      <c r="M897" s="4">
        <v>1.5005852148690724</v>
      </c>
      <c r="N897" s="4">
        <v>1.1599034508995161</v>
      </c>
      <c r="O897" s="4">
        <v>1.0629508298551109</v>
      </c>
      <c r="P897" s="4">
        <v>1.2776461900659541</v>
      </c>
      <c r="Q897" s="4">
        <v>1.1819284474145717</v>
      </c>
      <c r="R897" s="4">
        <f t="shared" si="38"/>
        <v>1.2326063271730834</v>
      </c>
      <c r="S897" s="2">
        <f t="shared" si="39"/>
        <v>0.23260632717308338</v>
      </c>
    </row>
    <row r="898" spans="12:19" x14ac:dyDescent="0.25">
      <c r="L898" s="11">
        <v>884</v>
      </c>
      <c r="M898" s="4">
        <v>3.3421467414463768</v>
      </c>
      <c r="N898" s="4">
        <v>1.9809427396582857</v>
      </c>
      <c r="O898" s="4">
        <v>1.6261350727364512</v>
      </c>
      <c r="P898" s="4">
        <v>2.40447105707144</v>
      </c>
      <c r="Q898" s="4">
        <v>1.5731579166199532</v>
      </c>
      <c r="R898" s="4">
        <f t="shared" si="38"/>
        <v>2.172764603670251</v>
      </c>
      <c r="S898" s="2">
        <f t="shared" si="39"/>
        <v>1.172764603670251</v>
      </c>
    </row>
    <row r="899" spans="12:19" x14ac:dyDescent="0.25">
      <c r="L899" s="11">
        <v>885</v>
      </c>
      <c r="M899" s="4">
        <v>1.3057132699088541</v>
      </c>
      <c r="N899" s="4">
        <v>1.0819580512524525</v>
      </c>
      <c r="O899" s="4">
        <v>1.3601372241552891</v>
      </c>
      <c r="P899" s="4">
        <v>1.1951583341691407</v>
      </c>
      <c r="Q899" s="4">
        <v>1.1324088371647603</v>
      </c>
      <c r="R899" s="4">
        <f t="shared" si="38"/>
        <v>1.2261292044373222</v>
      </c>
      <c r="S899" s="2">
        <f t="shared" si="39"/>
        <v>0.22612920443732221</v>
      </c>
    </row>
    <row r="900" spans="12:19" x14ac:dyDescent="0.25">
      <c r="L900" s="11">
        <v>886</v>
      </c>
      <c r="M900" s="4">
        <v>1.4016594492236896</v>
      </c>
      <c r="N900" s="4">
        <v>1.4093429360160357</v>
      </c>
      <c r="O900" s="4">
        <v>1.2751274522425486</v>
      </c>
      <c r="P900" s="4">
        <v>1.2705104469224942</v>
      </c>
      <c r="Q900" s="4">
        <v>1.1640411144130429</v>
      </c>
      <c r="R900" s="4">
        <f t="shared" si="38"/>
        <v>1.2990532650502435</v>
      </c>
      <c r="S900" s="2">
        <f t="shared" si="39"/>
        <v>0.29905326505024354</v>
      </c>
    </row>
    <row r="901" spans="12:19" x14ac:dyDescent="0.25">
      <c r="L901" s="11">
        <v>887</v>
      </c>
      <c r="M901" s="4">
        <v>0.98122201640698503</v>
      </c>
      <c r="N901" s="4">
        <v>1.0714692725735624</v>
      </c>
      <c r="O901" s="4">
        <v>1.0975516392327129</v>
      </c>
      <c r="P901" s="4">
        <v>0.99203214960083419</v>
      </c>
      <c r="Q901" s="4">
        <v>1.0402486873818537</v>
      </c>
      <c r="R901" s="4">
        <f t="shared" si="38"/>
        <v>1.0373757157907582</v>
      </c>
      <c r="S901" s="2">
        <f t="shared" si="39"/>
        <v>3.7375715790758157E-2</v>
      </c>
    </row>
    <row r="902" spans="12:19" x14ac:dyDescent="0.25">
      <c r="L902" s="11">
        <v>888</v>
      </c>
      <c r="M902" s="4">
        <v>1.8160492089733986</v>
      </c>
      <c r="N902" s="4">
        <v>1.2567543208676155</v>
      </c>
      <c r="O902" s="4">
        <v>1.3191684371599279</v>
      </c>
      <c r="P902" s="4">
        <v>1.6344121645328007</v>
      </c>
      <c r="Q902" s="4">
        <v>1.2593111481891601</v>
      </c>
      <c r="R902" s="4">
        <f t="shared" si="38"/>
        <v>1.4608050099069976</v>
      </c>
      <c r="S902" s="2">
        <f t="shared" si="39"/>
        <v>0.46080500990699758</v>
      </c>
    </row>
    <row r="903" spans="12:19" x14ac:dyDescent="0.25">
      <c r="L903" s="11">
        <v>889</v>
      </c>
      <c r="M903" s="4">
        <v>2.5500675697889106</v>
      </c>
      <c r="N903" s="4">
        <v>1.5721443015142615</v>
      </c>
      <c r="O903" s="4">
        <v>1.6586311893964942</v>
      </c>
      <c r="P903" s="4">
        <v>2.0160433822417647</v>
      </c>
      <c r="Q903" s="4">
        <v>1.4007760779649845</v>
      </c>
      <c r="R903" s="4">
        <f t="shared" si="38"/>
        <v>1.8444251712267405</v>
      </c>
      <c r="S903" s="2">
        <f t="shared" si="39"/>
        <v>0.84442517122674055</v>
      </c>
    </row>
    <row r="904" spans="12:19" x14ac:dyDescent="0.25">
      <c r="L904" s="11">
        <v>890</v>
      </c>
      <c r="M904" s="4">
        <v>2.5519339139324835</v>
      </c>
      <c r="N904" s="4">
        <v>1.9867788252685792</v>
      </c>
      <c r="O904" s="4">
        <v>1.5079634144082212</v>
      </c>
      <c r="P904" s="4">
        <v>1.9721221435814509</v>
      </c>
      <c r="Q904" s="4">
        <v>1.431381279100348</v>
      </c>
      <c r="R904" s="4">
        <f t="shared" si="38"/>
        <v>1.8721738333055828</v>
      </c>
      <c r="S904" s="2">
        <f t="shared" si="39"/>
        <v>0.87217383330558285</v>
      </c>
    </row>
    <row r="905" spans="12:19" x14ac:dyDescent="0.25">
      <c r="L905" s="11">
        <v>891</v>
      </c>
      <c r="M905" s="4">
        <v>1.7128915461035905</v>
      </c>
      <c r="N905" s="4">
        <v>1.3659692075787508</v>
      </c>
      <c r="O905" s="4">
        <v>1.4934605914158106</v>
      </c>
      <c r="P905" s="4">
        <v>1.362885842529262</v>
      </c>
      <c r="Q905" s="4">
        <v>1.2589015532830199</v>
      </c>
      <c r="R905" s="4">
        <f t="shared" si="38"/>
        <v>1.4435503835714509</v>
      </c>
      <c r="S905" s="2">
        <f t="shared" si="39"/>
        <v>0.44355038357145093</v>
      </c>
    </row>
    <row r="906" spans="12:19" x14ac:dyDescent="0.25">
      <c r="L906" s="11">
        <v>892</v>
      </c>
      <c r="M906" s="4">
        <v>2.4766114884551973</v>
      </c>
      <c r="N906" s="4">
        <v>1.2628697249315455</v>
      </c>
      <c r="O906" s="4">
        <v>1.4919800742215188</v>
      </c>
      <c r="P906" s="4">
        <v>1.8070704336173222</v>
      </c>
      <c r="Q906" s="4">
        <v>1.3844871781562014</v>
      </c>
      <c r="R906" s="4">
        <f t="shared" si="38"/>
        <v>1.6938723259999062</v>
      </c>
      <c r="S906" s="2">
        <f t="shared" si="39"/>
        <v>0.69387232599990623</v>
      </c>
    </row>
    <row r="907" spans="12:19" x14ac:dyDescent="0.25">
      <c r="L907" s="11">
        <v>893</v>
      </c>
      <c r="M907" s="4">
        <v>0.93766964591461166</v>
      </c>
      <c r="N907" s="4">
        <v>1.1541829463998816</v>
      </c>
      <c r="O907" s="4">
        <v>1.1852795717103133</v>
      </c>
      <c r="P907" s="4">
        <v>1.0070860918325133</v>
      </c>
      <c r="Q907" s="4">
        <v>1.0072445546810993</v>
      </c>
      <c r="R907" s="4">
        <f t="shared" si="38"/>
        <v>1.0597684545535786</v>
      </c>
      <c r="S907" s="2">
        <f t="shared" si="39"/>
        <v>5.9768454553578598E-2</v>
      </c>
    </row>
    <row r="908" spans="12:19" x14ac:dyDescent="0.25">
      <c r="L908" s="11">
        <v>894</v>
      </c>
      <c r="M908" s="4">
        <v>1.0839217097022087</v>
      </c>
      <c r="N908" s="4">
        <v>1.1323361848429701</v>
      </c>
      <c r="O908" s="4">
        <v>1.1861182825231644</v>
      </c>
      <c r="P908" s="4">
        <v>1.101803946218529</v>
      </c>
      <c r="Q908" s="4">
        <v>1.0724598518920518</v>
      </c>
      <c r="R908" s="4">
        <f t="shared" si="38"/>
        <v>1.1176680676057793</v>
      </c>
      <c r="S908" s="2">
        <f t="shared" si="39"/>
        <v>0.1176680676057793</v>
      </c>
    </row>
    <row r="909" spans="12:19" x14ac:dyDescent="0.25">
      <c r="L909" s="11">
        <v>895</v>
      </c>
      <c r="M909" s="4">
        <v>3.53306548030175</v>
      </c>
      <c r="N909" s="4">
        <v>1.9148349070989155</v>
      </c>
      <c r="O909" s="4">
        <v>1.6400903812703813</v>
      </c>
      <c r="P909" s="4">
        <v>2.4307418994668009</v>
      </c>
      <c r="Q909" s="4">
        <v>1.598797011536077</v>
      </c>
      <c r="R909" s="4">
        <f t="shared" si="38"/>
        <v>2.2136471058362446</v>
      </c>
      <c r="S909" s="2">
        <f t="shared" si="39"/>
        <v>1.2136471058362446</v>
      </c>
    </row>
    <row r="910" spans="12:19" x14ac:dyDescent="0.25">
      <c r="L910" s="11">
        <v>896</v>
      </c>
      <c r="M910" s="4">
        <v>0.84644066270546903</v>
      </c>
      <c r="N910" s="4">
        <v>0.90355865778398226</v>
      </c>
      <c r="O910" s="4">
        <v>1.1780681269554965</v>
      </c>
      <c r="P910" s="4">
        <v>0.92667951238351298</v>
      </c>
      <c r="Q910" s="4">
        <v>0.98154497610968905</v>
      </c>
      <c r="R910" s="4">
        <f t="shared" si="38"/>
        <v>0.9781066998256146</v>
      </c>
      <c r="S910" s="2">
        <f t="shared" si="39"/>
        <v>-2.1893300174385399E-2</v>
      </c>
    </row>
    <row r="911" spans="12:19" x14ac:dyDescent="0.25">
      <c r="L911" s="11">
        <v>897</v>
      </c>
      <c r="M911" s="4">
        <v>1.021208726390511</v>
      </c>
      <c r="N911" s="4">
        <v>1.1158997527286549</v>
      </c>
      <c r="O911" s="4">
        <v>1.1992939391504476</v>
      </c>
      <c r="P911" s="4">
        <v>1.0233973107566574</v>
      </c>
      <c r="Q911" s="4">
        <v>1.0481595371639496</v>
      </c>
      <c r="R911" s="4">
        <f t="shared" ref="R911:R974" si="40">SUMPRODUCT(M911:Q911,$M$8:$Q$8)</f>
        <v>1.0848425300557809</v>
      </c>
      <c r="S911" s="2">
        <f t="shared" si="39"/>
        <v>8.4842530055780907E-2</v>
      </c>
    </row>
    <row r="912" spans="12:19" x14ac:dyDescent="0.25">
      <c r="L912" s="11">
        <v>898</v>
      </c>
      <c r="M912" s="4">
        <v>3.8560907389092156</v>
      </c>
      <c r="N912" s="4">
        <v>1.6295315119348435</v>
      </c>
      <c r="O912" s="4">
        <v>1.9948220819484372</v>
      </c>
      <c r="P912" s="4">
        <v>2.6548243243906398</v>
      </c>
      <c r="Q912" s="4">
        <v>1.6416855576829483</v>
      </c>
      <c r="R912" s="4">
        <f t="shared" si="40"/>
        <v>2.3713994368428049</v>
      </c>
      <c r="S912" s="2">
        <f t="shared" ref="S912:S975" si="41">R912-1</f>
        <v>1.3713994368428049</v>
      </c>
    </row>
    <row r="913" spans="12:19" x14ac:dyDescent="0.25">
      <c r="L913" s="11">
        <v>899</v>
      </c>
      <c r="M913" s="4">
        <v>1.6066059330243483</v>
      </c>
      <c r="N913" s="4">
        <v>1.3833416252695567</v>
      </c>
      <c r="O913" s="4">
        <v>1.2910586954286365</v>
      </c>
      <c r="P913" s="4">
        <v>1.5297672213454041</v>
      </c>
      <c r="Q913" s="4">
        <v>1.2125498195857787</v>
      </c>
      <c r="R913" s="4">
        <f t="shared" si="40"/>
        <v>1.4022585094489746</v>
      </c>
      <c r="S913" s="2">
        <f t="shared" si="41"/>
        <v>0.40225850944897457</v>
      </c>
    </row>
    <row r="914" spans="12:19" x14ac:dyDescent="0.25">
      <c r="L914" s="11">
        <v>900</v>
      </c>
      <c r="M914" s="4">
        <v>0.65221804122375804</v>
      </c>
      <c r="N914" s="4">
        <v>0.88912587953026112</v>
      </c>
      <c r="O914" s="4">
        <v>0.90909546159949939</v>
      </c>
      <c r="P914" s="4">
        <v>0.805071683169439</v>
      </c>
      <c r="Q914" s="4">
        <v>1.0015808476758568</v>
      </c>
      <c r="R914" s="4">
        <f t="shared" si="40"/>
        <v>0.85167988533091088</v>
      </c>
      <c r="S914" s="2">
        <f t="shared" si="41"/>
        <v>-0.14832011466908912</v>
      </c>
    </row>
    <row r="915" spans="12:19" x14ac:dyDescent="0.25">
      <c r="L915" s="11">
        <v>901</v>
      </c>
      <c r="M915" s="4">
        <v>0.74652652950910625</v>
      </c>
      <c r="N915" s="4">
        <v>0.79442638011528177</v>
      </c>
      <c r="O915" s="4">
        <v>0.95835063312011715</v>
      </c>
      <c r="P915" s="4">
        <v>0.84784140071578307</v>
      </c>
      <c r="Q915" s="4">
        <v>0.97236355389272056</v>
      </c>
      <c r="R915" s="4">
        <f t="shared" si="40"/>
        <v>0.87004935795028859</v>
      </c>
      <c r="S915" s="2">
        <f t="shared" si="41"/>
        <v>-0.12995064204971141</v>
      </c>
    </row>
    <row r="916" spans="12:19" x14ac:dyDescent="0.25">
      <c r="L916" s="11">
        <v>902</v>
      </c>
      <c r="M916" s="4">
        <v>2.2280603310308282</v>
      </c>
      <c r="N916" s="4">
        <v>1.4903623883989867</v>
      </c>
      <c r="O916" s="4">
        <v>1.533352726790439</v>
      </c>
      <c r="P916" s="4">
        <v>1.7643858294091948</v>
      </c>
      <c r="Q916" s="4">
        <v>1.3722950417740025</v>
      </c>
      <c r="R916" s="4">
        <f t="shared" si="40"/>
        <v>1.6800318538647283</v>
      </c>
      <c r="S916" s="2">
        <f t="shared" si="41"/>
        <v>0.68003185386472831</v>
      </c>
    </row>
    <row r="917" spans="12:19" x14ac:dyDescent="0.25">
      <c r="L917" s="11">
        <v>903</v>
      </c>
      <c r="M917" s="4">
        <v>1.7161558592241859</v>
      </c>
      <c r="N917" s="4">
        <v>1.4391827278238445</v>
      </c>
      <c r="O917" s="4">
        <v>1.2477201562486804</v>
      </c>
      <c r="P917" s="4">
        <v>1.5839298456063358</v>
      </c>
      <c r="Q917" s="4">
        <v>1.2510408712136203</v>
      </c>
      <c r="R917" s="4">
        <f t="shared" si="40"/>
        <v>1.4411931719355193</v>
      </c>
      <c r="S917" s="2">
        <f t="shared" si="41"/>
        <v>0.44119317193551932</v>
      </c>
    </row>
    <row r="918" spans="12:19" x14ac:dyDescent="0.25">
      <c r="L918" s="11">
        <v>904</v>
      </c>
      <c r="M918" s="4">
        <v>2.6506827395889077</v>
      </c>
      <c r="N918" s="4">
        <v>1.5851410296635482</v>
      </c>
      <c r="O918" s="4">
        <v>1.3259814660757023</v>
      </c>
      <c r="P918" s="4">
        <v>2.0049938627330985</v>
      </c>
      <c r="Q918" s="4">
        <v>1.5172194590132442</v>
      </c>
      <c r="R918" s="4">
        <f t="shared" si="40"/>
        <v>1.8070641698642027</v>
      </c>
      <c r="S918" s="2">
        <f t="shared" si="41"/>
        <v>0.80706416986420271</v>
      </c>
    </row>
    <row r="919" spans="12:19" x14ac:dyDescent="0.25">
      <c r="L919" s="11">
        <v>905</v>
      </c>
      <c r="M919" s="4">
        <v>2.4195410985219019</v>
      </c>
      <c r="N919" s="4">
        <v>1.4231603664937047</v>
      </c>
      <c r="O919" s="4">
        <v>1.3800617309113166</v>
      </c>
      <c r="P919" s="4">
        <v>1.9578256871533131</v>
      </c>
      <c r="Q919" s="4">
        <v>1.39469177630579</v>
      </c>
      <c r="R919" s="4">
        <f t="shared" si="40"/>
        <v>1.7146710717360252</v>
      </c>
      <c r="S919" s="2">
        <f t="shared" si="41"/>
        <v>0.71467107173602518</v>
      </c>
    </row>
    <row r="920" spans="12:19" x14ac:dyDescent="0.25">
      <c r="L920" s="11">
        <v>906</v>
      </c>
      <c r="M920" s="4">
        <v>3.0979752784071315</v>
      </c>
      <c r="N920" s="4">
        <v>1.7610916266452474</v>
      </c>
      <c r="O920" s="4">
        <v>1.5141810642964288</v>
      </c>
      <c r="P920" s="4">
        <v>2.2636544493965696</v>
      </c>
      <c r="Q920" s="4">
        <v>1.5401054523267772</v>
      </c>
      <c r="R920" s="4">
        <f t="shared" si="40"/>
        <v>2.0267858008830979</v>
      </c>
      <c r="S920" s="2">
        <f t="shared" si="41"/>
        <v>1.0267858008830979</v>
      </c>
    </row>
    <row r="921" spans="12:19" x14ac:dyDescent="0.25">
      <c r="L921" s="11">
        <v>907</v>
      </c>
      <c r="M921" s="4">
        <v>0.94641002444599365</v>
      </c>
      <c r="N921" s="4">
        <v>0.94072779430106113</v>
      </c>
      <c r="O921" s="4">
        <v>1.2450177302806547</v>
      </c>
      <c r="P921" s="4">
        <v>0.99589739046068482</v>
      </c>
      <c r="Q921" s="4">
        <v>1.0283038368689348</v>
      </c>
      <c r="R921" s="4">
        <f t="shared" si="40"/>
        <v>1.0433233103673092</v>
      </c>
      <c r="S921" s="2">
        <f t="shared" si="41"/>
        <v>4.3323310367309187E-2</v>
      </c>
    </row>
    <row r="922" spans="12:19" x14ac:dyDescent="0.25">
      <c r="L922" s="11">
        <v>908</v>
      </c>
      <c r="M922" s="4">
        <v>1.3026436822985217</v>
      </c>
      <c r="N922" s="4">
        <v>1.2745178684798169</v>
      </c>
      <c r="O922" s="4">
        <v>1.3279633983310157</v>
      </c>
      <c r="P922" s="4">
        <v>1.1597635873070298</v>
      </c>
      <c r="Q922" s="4">
        <v>1.1309321072348544</v>
      </c>
      <c r="R922" s="4">
        <f t="shared" si="40"/>
        <v>1.2411391732557164</v>
      </c>
      <c r="S922" s="2">
        <f t="shared" si="41"/>
        <v>0.24113917325571643</v>
      </c>
    </row>
    <row r="923" spans="12:19" x14ac:dyDescent="0.25">
      <c r="L923" s="11">
        <v>909</v>
      </c>
      <c r="M923" s="4">
        <v>1.1357175107626936</v>
      </c>
      <c r="N923" s="4">
        <v>1.0572106152198883</v>
      </c>
      <c r="O923" s="4">
        <v>1.2490584072565367</v>
      </c>
      <c r="P923" s="4">
        <v>1.17772677839313</v>
      </c>
      <c r="Q923" s="4">
        <v>1.1551819631094284</v>
      </c>
      <c r="R923" s="4">
        <f t="shared" si="40"/>
        <v>1.1627691327017007</v>
      </c>
      <c r="S923" s="2">
        <f t="shared" si="41"/>
        <v>0.16276913270170068</v>
      </c>
    </row>
    <row r="924" spans="12:19" x14ac:dyDescent="0.25">
      <c r="L924" s="11">
        <v>910</v>
      </c>
      <c r="M924" s="4">
        <v>1.2823223186150741</v>
      </c>
      <c r="N924" s="4">
        <v>1.1003289619819765</v>
      </c>
      <c r="O924" s="4">
        <v>1.2533330110202145</v>
      </c>
      <c r="P924" s="4">
        <v>1.3726035372681318</v>
      </c>
      <c r="Q924" s="4">
        <v>1.1697731292570719</v>
      </c>
      <c r="R924" s="4">
        <f t="shared" si="40"/>
        <v>1.2428262910180641</v>
      </c>
      <c r="S924" s="2">
        <f t="shared" si="41"/>
        <v>0.24282629101806408</v>
      </c>
    </row>
    <row r="925" spans="12:19" x14ac:dyDescent="0.25">
      <c r="L925" s="11">
        <v>911</v>
      </c>
      <c r="M925" s="4">
        <v>1.3660458394057557</v>
      </c>
      <c r="N925" s="4">
        <v>1.1683724543384968</v>
      </c>
      <c r="O925" s="4">
        <v>1.2452385438635643</v>
      </c>
      <c r="P925" s="4">
        <v>1.3099443692431805</v>
      </c>
      <c r="Q925" s="4">
        <v>1.1275912067016252</v>
      </c>
      <c r="R925" s="4">
        <f t="shared" si="40"/>
        <v>1.2471709891943732</v>
      </c>
      <c r="S925" s="2">
        <f t="shared" si="41"/>
        <v>0.24717098919437319</v>
      </c>
    </row>
    <row r="926" spans="12:19" x14ac:dyDescent="0.25">
      <c r="L926" s="11">
        <v>912</v>
      </c>
      <c r="M926" s="4">
        <v>2.3942591990489821</v>
      </c>
      <c r="N926" s="4">
        <v>1.4025934397251942</v>
      </c>
      <c r="O926" s="4">
        <v>1.6842706359373305</v>
      </c>
      <c r="P926" s="4">
        <v>1.9509052276760324</v>
      </c>
      <c r="Q926" s="4">
        <v>1.4134585066354108</v>
      </c>
      <c r="R926" s="4">
        <f t="shared" si="40"/>
        <v>1.7815566259735316</v>
      </c>
      <c r="S926" s="2">
        <f t="shared" si="41"/>
        <v>0.78155662597353159</v>
      </c>
    </row>
    <row r="927" spans="12:19" x14ac:dyDescent="0.25">
      <c r="L927" s="11">
        <v>913</v>
      </c>
      <c r="M927" s="4">
        <v>2.4551255754178429</v>
      </c>
      <c r="N927" s="4">
        <v>1.6307182503033544</v>
      </c>
      <c r="O927" s="4">
        <v>1.2999780747660272</v>
      </c>
      <c r="P927" s="4">
        <v>1.8929397559694063</v>
      </c>
      <c r="Q927" s="4">
        <v>1.3933998581328682</v>
      </c>
      <c r="R927" s="4">
        <f t="shared" si="40"/>
        <v>1.7221774054624062</v>
      </c>
      <c r="S927" s="2">
        <f t="shared" si="41"/>
        <v>0.72217740546240616</v>
      </c>
    </row>
    <row r="928" spans="12:19" x14ac:dyDescent="0.25">
      <c r="L928" s="11">
        <v>914</v>
      </c>
      <c r="M928" s="4">
        <v>0.73371108009578989</v>
      </c>
      <c r="N928" s="4">
        <v>1.0964914324276314</v>
      </c>
      <c r="O928" s="4">
        <v>1.1053617553283592</v>
      </c>
      <c r="P928" s="4">
        <v>0.82998905725591765</v>
      </c>
      <c r="Q928" s="4">
        <v>0.93889374190443031</v>
      </c>
      <c r="R928" s="4">
        <f t="shared" si="40"/>
        <v>0.94108026058181782</v>
      </c>
      <c r="S928" s="2">
        <f t="shared" si="41"/>
        <v>-5.8919739418182182E-2</v>
      </c>
    </row>
    <row r="929" spans="12:19" x14ac:dyDescent="0.25">
      <c r="L929" s="11">
        <v>915</v>
      </c>
      <c r="M929" s="4">
        <v>1.9993497790561516</v>
      </c>
      <c r="N929" s="4">
        <v>1.5164795804533582</v>
      </c>
      <c r="O929" s="4">
        <v>1.4596043852671683</v>
      </c>
      <c r="P929" s="4">
        <v>1.6431399024022544</v>
      </c>
      <c r="Q929" s="4">
        <v>1.2986490622022979</v>
      </c>
      <c r="R929" s="4">
        <f t="shared" si="40"/>
        <v>1.5819116330641321</v>
      </c>
      <c r="S929" s="2">
        <f t="shared" si="41"/>
        <v>0.58191163306413207</v>
      </c>
    </row>
    <row r="930" spans="12:19" x14ac:dyDescent="0.25">
      <c r="L930" s="11">
        <v>916</v>
      </c>
      <c r="M930" s="4">
        <v>2.230152652196479</v>
      </c>
      <c r="N930" s="4">
        <v>1.3857075337960396</v>
      </c>
      <c r="O930" s="4">
        <v>1.7082869418883559</v>
      </c>
      <c r="P930" s="4">
        <v>1.8232587713573987</v>
      </c>
      <c r="Q930" s="4">
        <v>1.3906374865605946</v>
      </c>
      <c r="R930" s="4">
        <f t="shared" si="40"/>
        <v>1.7213340367190664</v>
      </c>
      <c r="S930" s="2">
        <f t="shared" si="41"/>
        <v>0.72133403671906637</v>
      </c>
    </row>
    <row r="931" spans="12:19" x14ac:dyDescent="0.25">
      <c r="L931" s="11">
        <v>917</v>
      </c>
      <c r="M931" s="4">
        <v>2.2523647577305086</v>
      </c>
      <c r="N931" s="4">
        <v>1.4178112837939527</v>
      </c>
      <c r="O931" s="4">
        <v>1.3961034370992649</v>
      </c>
      <c r="P931" s="4">
        <v>1.7397184282356721</v>
      </c>
      <c r="Q931" s="4">
        <v>1.3495693060818452</v>
      </c>
      <c r="R931" s="4">
        <f t="shared" si="40"/>
        <v>1.6307273923566199</v>
      </c>
      <c r="S931" s="2">
        <f t="shared" si="41"/>
        <v>0.6307273923566199</v>
      </c>
    </row>
    <row r="932" spans="12:19" x14ac:dyDescent="0.25">
      <c r="L932" s="11">
        <v>918</v>
      </c>
      <c r="M932" s="4">
        <v>1.3254009548658587</v>
      </c>
      <c r="N932" s="4">
        <v>0.99141684056624158</v>
      </c>
      <c r="O932" s="4">
        <v>1.1529207980691345</v>
      </c>
      <c r="P932" s="4">
        <v>1.2016312225028896</v>
      </c>
      <c r="Q932" s="4">
        <v>1.1229133124854251</v>
      </c>
      <c r="R932" s="4">
        <f t="shared" si="40"/>
        <v>1.1652639222369299</v>
      </c>
      <c r="S932" s="2">
        <f t="shared" si="41"/>
        <v>0.16526392223692987</v>
      </c>
    </row>
    <row r="933" spans="12:19" x14ac:dyDescent="0.25">
      <c r="L933" s="11">
        <v>919</v>
      </c>
      <c r="M933" s="4">
        <v>1.2015954086392515</v>
      </c>
      <c r="N933" s="4">
        <v>1.017222132389964</v>
      </c>
      <c r="O933" s="4">
        <v>1.0725126190649776</v>
      </c>
      <c r="P933" s="4">
        <v>1.0885931544187519</v>
      </c>
      <c r="Q933" s="4">
        <v>1.0595368005339141</v>
      </c>
      <c r="R933" s="4">
        <f t="shared" si="40"/>
        <v>1.0899248258313463</v>
      </c>
      <c r="S933" s="2">
        <f t="shared" si="41"/>
        <v>8.9924825831346311E-2</v>
      </c>
    </row>
    <row r="934" spans="12:19" x14ac:dyDescent="0.25">
      <c r="L934" s="11">
        <v>920</v>
      </c>
      <c r="M934" s="4">
        <v>0.79328594676085795</v>
      </c>
      <c r="N934" s="4">
        <v>0.85203755127412228</v>
      </c>
      <c r="O934" s="4">
        <v>1.0460540762490069</v>
      </c>
      <c r="P934" s="4">
        <v>0.87358461791464281</v>
      </c>
      <c r="Q934" s="4">
        <v>0.94439332964137312</v>
      </c>
      <c r="R934" s="4">
        <f t="shared" si="40"/>
        <v>0.90943918778853472</v>
      </c>
      <c r="S934" s="2">
        <f t="shared" si="41"/>
        <v>-9.056081221146528E-2</v>
      </c>
    </row>
    <row r="935" spans="12:19" x14ac:dyDescent="0.25">
      <c r="L935" s="11">
        <v>921</v>
      </c>
      <c r="M935" s="4">
        <v>1.2353491757463728</v>
      </c>
      <c r="N935" s="4">
        <v>1.1970718376069791</v>
      </c>
      <c r="O935" s="4">
        <v>1.258207681333551</v>
      </c>
      <c r="P935" s="4">
        <v>1.2007491021931356</v>
      </c>
      <c r="Q935" s="4">
        <v>1.1053141977070478</v>
      </c>
      <c r="R935" s="4">
        <f t="shared" si="40"/>
        <v>1.202145219257593</v>
      </c>
      <c r="S935" s="2">
        <f t="shared" si="41"/>
        <v>0.20214521925759299</v>
      </c>
    </row>
    <row r="936" spans="12:19" x14ac:dyDescent="0.25">
      <c r="L936" s="11">
        <v>922</v>
      </c>
      <c r="M936" s="4">
        <v>1.1129102270538167</v>
      </c>
      <c r="N936" s="4">
        <v>1.0983410612883528</v>
      </c>
      <c r="O936" s="4">
        <v>1.2161870127429764</v>
      </c>
      <c r="P936" s="4">
        <v>1.1558227793000011</v>
      </c>
      <c r="Q936" s="4">
        <v>1.0774183977003069</v>
      </c>
      <c r="R936" s="4">
        <f t="shared" si="40"/>
        <v>1.1372806268153997</v>
      </c>
      <c r="S936" s="2">
        <f t="shared" si="41"/>
        <v>0.13728062681539965</v>
      </c>
    </row>
    <row r="937" spans="12:19" x14ac:dyDescent="0.25">
      <c r="L937" s="11">
        <v>923</v>
      </c>
      <c r="M937" s="4">
        <v>3.1123393582203036</v>
      </c>
      <c r="N937" s="4">
        <v>1.5947659367026836</v>
      </c>
      <c r="O937" s="4">
        <v>1.7664946605663601</v>
      </c>
      <c r="P937" s="4">
        <v>2.1775728439553004</v>
      </c>
      <c r="Q937" s="4">
        <v>1.505100437863313</v>
      </c>
      <c r="R937" s="4">
        <f t="shared" si="40"/>
        <v>2.038778238359491</v>
      </c>
      <c r="S937" s="2">
        <f t="shared" si="41"/>
        <v>1.038778238359491</v>
      </c>
    </row>
    <row r="938" spans="12:19" x14ac:dyDescent="0.25">
      <c r="L938" s="11">
        <v>924</v>
      </c>
      <c r="M938" s="4">
        <v>1.5600960219514592</v>
      </c>
      <c r="N938" s="4">
        <v>1.4433748113282117</v>
      </c>
      <c r="O938" s="4">
        <v>1.3227756479734023</v>
      </c>
      <c r="P938" s="4">
        <v>1.4124381851874095</v>
      </c>
      <c r="Q938" s="4">
        <v>1.2337965618158118</v>
      </c>
      <c r="R938" s="4">
        <f t="shared" si="40"/>
        <v>1.3902103793830456</v>
      </c>
      <c r="S938" s="2">
        <f t="shared" si="41"/>
        <v>0.39021037938304559</v>
      </c>
    </row>
    <row r="939" spans="12:19" x14ac:dyDescent="0.25">
      <c r="L939" s="11">
        <v>925</v>
      </c>
      <c r="M939" s="4">
        <v>0.76942719863942421</v>
      </c>
      <c r="N939" s="4">
        <v>0.77406183483693269</v>
      </c>
      <c r="O939" s="4">
        <v>1.1056378240851275</v>
      </c>
      <c r="P939" s="4">
        <v>0.85368089470388864</v>
      </c>
      <c r="Q939" s="4">
        <v>0.93055085043326069</v>
      </c>
      <c r="R939" s="4">
        <f t="shared" si="40"/>
        <v>0.89966886686779524</v>
      </c>
      <c r="S939" s="2">
        <f t="shared" si="41"/>
        <v>-0.10033113313220476</v>
      </c>
    </row>
    <row r="940" spans="12:19" x14ac:dyDescent="0.25">
      <c r="L940" s="11">
        <v>926</v>
      </c>
      <c r="M940" s="4">
        <v>0.43589750592305809</v>
      </c>
      <c r="N940" s="4">
        <v>0.80571428586325944</v>
      </c>
      <c r="O940" s="4">
        <v>0.77686338302076252</v>
      </c>
      <c r="P940" s="4">
        <v>0.59211857282139146</v>
      </c>
      <c r="Q940" s="4">
        <v>0.78264088899979678</v>
      </c>
      <c r="R940" s="4">
        <f t="shared" si="40"/>
        <v>0.67706380292321389</v>
      </c>
      <c r="S940" s="2">
        <f t="shared" si="41"/>
        <v>-0.32293619707678611</v>
      </c>
    </row>
    <row r="941" spans="12:19" x14ac:dyDescent="0.25">
      <c r="L941" s="11">
        <v>927</v>
      </c>
      <c r="M941" s="4">
        <v>1.0062965252147729</v>
      </c>
      <c r="N941" s="4">
        <v>0.87346181610113938</v>
      </c>
      <c r="O941" s="4">
        <v>1.2625421477099041</v>
      </c>
      <c r="P941" s="4">
        <v>1.0780435010016856</v>
      </c>
      <c r="Q941" s="4">
        <v>1.0569313272824767</v>
      </c>
      <c r="R941" s="4">
        <f t="shared" si="40"/>
        <v>1.0711221218012987</v>
      </c>
      <c r="S941" s="2">
        <f t="shared" si="41"/>
        <v>7.1122121801298732E-2</v>
      </c>
    </row>
    <row r="942" spans="12:19" x14ac:dyDescent="0.25">
      <c r="L942" s="11">
        <v>928</v>
      </c>
      <c r="M942" s="4">
        <v>1.3234491687930723</v>
      </c>
      <c r="N942" s="4">
        <v>1.1162548167252173</v>
      </c>
      <c r="O942" s="4">
        <v>1.231184196248196</v>
      </c>
      <c r="P942" s="4">
        <v>1.2451619633867939</v>
      </c>
      <c r="Q942" s="4">
        <v>1.1188418353001386</v>
      </c>
      <c r="R942" s="4">
        <f t="shared" si="40"/>
        <v>1.2119093536552135</v>
      </c>
      <c r="S942" s="2">
        <f t="shared" si="41"/>
        <v>0.21190935365521346</v>
      </c>
    </row>
    <row r="943" spans="12:19" x14ac:dyDescent="0.25">
      <c r="L943" s="11">
        <v>929</v>
      </c>
      <c r="M943" s="4">
        <v>1.8336872602001884</v>
      </c>
      <c r="N943" s="4">
        <v>1.3196439153278481</v>
      </c>
      <c r="O943" s="4">
        <v>1.4053821949056857</v>
      </c>
      <c r="P943" s="4">
        <v>1.5960404637312597</v>
      </c>
      <c r="Q943" s="4">
        <v>1.2495981810177401</v>
      </c>
      <c r="R943" s="4">
        <f t="shared" si="40"/>
        <v>1.485240033981813</v>
      </c>
      <c r="S943" s="2">
        <f t="shared" si="41"/>
        <v>0.48524003398181303</v>
      </c>
    </row>
    <row r="944" spans="12:19" x14ac:dyDescent="0.25">
      <c r="L944" s="11">
        <v>930</v>
      </c>
      <c r="M944" s="4">
        <v>0.83390892091488256</v>
      </c>
      <c r="N944" s="4">
        <v>0.72946713458468926</v>
      </c>
      <c r="O944" s="4">
        <v>0.9535477324001016</v>
      </c>
      <c r="P944" s="4">
        <v>0.86958698976066395</v>
      </c>
      <c r="Q944" s="4">
        <v>0.98020309649767801</v>
      </c>
      <c r="R944" s="4">
        <f t="shared" si="40"/>
        <v>0.88175157908852619</v>
      </c>
      <c r="S944" s="2">
        <f t="shared" si="41"/>
        <v>-0.11824842091147381</v>
      </c>
    </row>
    <row r="945" spans="12:19" x14ac:dyDescent="0.25">
      <c r="L945" s="11">
        <v>931</v>
      </c>
      <c r="M945" s="4">
        <v>1.4808119817038785</v>
      </c>
      <c r="N945" s="4">
        <v>1.0454403702293331</v>
      </c>
      <c r="O945" s="4">
        <v>1.1467416268448944</v>
      </c>
      <c r="P945" s="4">
        <v>1.3069846187670413</v>
      </c>
      <c r="Q945" s="4">
        <v>1.1487276105312891</v>
      </c>
      <c r="R945" s="4">
        <f t="shared" si="40"/>
        <v>1.2299880616221763</v>
      </c>
      <c r="S945" s="2">
        <f t="shared" si="41"/>
        <v>0.22998806162217633</v>
      </c>
    </row>
    <row r="946" spans="12:19" x14ac:dyDescent="0.25">
      <c r="L946" s="11">
        <v>932</v>
      </c>
      <c r="M946" s="4">
        <v>1.1373498572357656</v>
      </c>
      <c r="N946" s="4">
        <v>1.0599585963433711</v>
      </c>
      <c r="O946" s="4">
        <v>1.2221465800929046</v>
      </c>
      <c r="P946" s="4">
        <v>1.1230519569981721</v>
      </c>
      <c r="Q946" s="4">
        <v>1.064996895448391</v>
      </c>
      <c r="R946" s="4">
        <f t="shared" si="40"/>
        <v>1.1281717498876513</v>
      </c>
      <c r="S946" s="2">
        <f t="shared" si="41"/>
        <v>0.12817174988765134</v>
      </c>
    </row>
    <row r="947" spans="12:19" x14ac:dyDescent="0.25">
      <c r="L947" s="11">
        <v>933</v>
      </c>
      <c r="M947" s="4">
        <v>1.376503515864463</v>
      </c>
      <c r="N947" s="4">
        <v>1.2613636993258452</v>
      </c>
      <c r="O947" s="4">
        <v>1.1716642488161912</v>
      </c>
      <c r="P947" s="4">
        <v>1.2575482708695691</v>
      </c>
      <c r="Q947" s="4">
        <v>1.1527757062230826</v>
      </c>
      <c r="R947" s="4">
        <f t="shared" si="40"/>
        <v>1.2406170267774999</v>
      </c>
      <c r="S947" s="2">
        <f t="shared" si="41"/>
        <v>0.24061702677749985</v>
      </c>
    </row>
    <row r="948" spans="12:19" x14ac:dyDescent="0.25">
      <c r="L948" s="11">
        <v>934</v>
      </c>
      <c r="M948" s="4">
        <v>1.509629074391817</v>
      </c>
      <c r="N948" s="4">
        <v>1.3354022760607707</v>
      </c>
      <c r="O948" s="4">
        <v>1.2041064334919047</v>
      </c>
      <c r="P948" s="4">
        <v>1.3650752030797375</v>
      </c>
      <c r="Q948" s="4">
        <v>1.1926143824955531</v>
      </c>
      <c r="R948" s="4">
        <f t="shared" si="40"/>
        <v>1.3166025487918522</v>
      </c>
      <c r="S948" s="2">
        <f t="shared" si="41"/>
        <v>0.31660254879185223</v>
      </c>
    </row>
    <row r="949" spans="12:19" x14ac:dyDescent="0.25">
      <c r="L949" s="11">
        <v>935</v>
      </c>
      <c r="M949" s="4">
        <v>1.2706796280781487</v>
      </c>
      <c r="N949" s="4">
        <v>1.0575842074312332</v>
      </c>
      <c r="O949" s="4">
        <v>1.2804135669130348</v>
      </c>
      <c r="P949" s="4">
        <v>1.1980763475483038</v>
      </c>
      <c r="Q949" s="4">
        <v>1.1122854287282451</v>
      </c>
      <c r="R949" s="4">
        <f t="shared" si="40"/>
        <v>1.1928479307355604</v>
      </c>
      <c r="S949" s="2">
        <f t="shared" si="41"/>
        <v>0.19284793073556039</v>
      </c>
    </row>
    <row r="950" spans="12:19" x14ac:dyDescent="0.25">
      <c r="L950" s="11">
        <v>936</v>
      </c>
      <c r="M950" s="4">
        <v>0.81213057473684691</v>
      </c>
      <c r="N950" s="4">
        <v>1.0739712364604708</v>
      </c>
      <c r="O950" s="4">
        <v>1.2173424952158249</v>
      </c>
      <c r="P950" s="4">
        <v>1.0091591381158864</v>
      </c>
      <c r="Q950" s="4">
        <v>1.0711081831461589</v>
      </c>
      <c r="R950" s="4">
        <f t="shared" si="40"/>
        <v>1.0426609179116797</v>
      </c>
      <c r="S950" s="2">
        <f t="shared" si="41"/>
        <v>4.2660917911679697E-2</v>
      </c>
    </row>
    <row r="951" spans="12:19" x14ac:dyDescent="0.25">
      <c r="L951" s="11">
        <v>937</v>
      </c>
      <c r="M951" s="4">
        <v>1.1966417321213976</v>
      </c>
      <c r="N951" s="4">
        <v>1.2828155018342589</v>
      </c>
      <c r="O951" s="4">
        <v>1.1423101288009259</v>
      </c>
      <c r="P951" s="4">
        <v>1.209591006700117</v>
      </c>
      <c r="Q951" s="4">
        <v>1.1148688141008001</v>
      </c>
      <c r="R951" s="4">
        <f t="shared" si="40"/>
        <v>1.1841732817104385</v>
      </c>
      <c r="S951" s="2">
        <f t="shared" si="41"/>
        <v>0.18417328171043845</v>
      </c>
    </row>
    <row r="952" spans="12:19" x14ac:dyDescent="0.25">
      <c r="L952" s="11">
        <v>938</v>
      </c>
      <c r="M952" s="4">
        <v>0.42424039850159712</v>
      </c>
      <c r="N952" s="4">
        <v>0.8385032410283827</v>
      </c>
      <c r="O952" s="4">
        <v>0.9053437370136671</v>
      </c>
      <c r="P952" s="4">
        <v>0.62786922437360149</v>
      </c>
      <c r="Q952" s="4">
        <v>0.81356346230900423</v>
      </c>
      <c r="R952" s="4">
        <f t="shared" si="40"/>
        <v>0.72426712959375128</v>
      </c>
      <c r="S952" s="2">
        <f t="shared" si="41"/>
        <v>-0.27573287040624872</v>
      </c>
    </row>
    <row r="953" spans="12:19" x14ac:dyDescent="0.25">
      <c r="L953" s="11">
        <v>939</v>
      </c>
      <c r="M953" s="4">
        <v>2.7215874663715907</v>
      </c>
      <c r="N953" s="4">
        <v>1.4258404144488983</v>
      </c>
      <c r="O953" s="4">
        <v>1.536094133697846</v>
      </c>
      <c r="P953" s="4">
        <v>2.0477840087496793</v>
      </c>
      <c r="Q953" s="4">
        <v>1.4839007135379112</v>
      </c>
      <c r="R953" s="4">
        <f t="shared" si="40"/>
        <v>1.8482093630931118</v>
      </c>
      <c r="S953" s="2">
        <f t="shared" si="41"/>
        <v>0.84820936309311179</v>
      </c>
    </row>
    <row r="954" spans="12:19" x14ac:dyDescent="0.25">
      <c r="L954" s="11">
        <v>940</v>
      </c>
      <c r="M954" s="4">
        <v>1.4192087509737237</v>
      </c>
      <c r="N954" s="4">
        <v>1.3099568168650615</v>
      </c>
      <c r="O954" s="4">
        <v>1.1635088346421734</v>
      </c>
      <c r="P954" s="4">
        <v>1.318172851326574</v>
      </c>
      <c r="Q954" s="4">
        <v>1.1563717486220744</v>
      </c>
      <c r="R954" s="4">
        <f t="shared" si="40"/>
        <v>1.2681421534252906</v>
      </c>
      <c r="S954" s="2">
        <f t="shared" si="41"/>
        <v>0.26814215342529057</v>
      </c>
    </row>
    <row r="955" spans="12:19" x14ac:dyDescent="0.25">
      <c r="L955" s="11">
        <v>941</v>
      </c>
      <c r="M955" s="4">
        <v>1.3007033989813335</v>
      </c>
      <c r="N955" s="4">
        <v>1.3511074838509414</v>
      </c>
      <c r="O955" s="4">
        <v>1.3104315591819498</v>
      </c>
      <c r="P955" s="4">
        <v>1.3824062378626027</v>
      </c>
      <c r="Q955" s="4">
        <v>1.2221658600479737</v>
      </c>
      <c r="R955" s="4">
        <f t="shared" si="40"/>
        <v>1.3126963871410711</v>
      </c>
      <c r="S955" s="2">
        <f t="shared" si="41"/>
        <v>0.31269638714107106</v>
      </c>
    </row>
    <row r="956" spans="12:19" x14ac:dyDescent="0.25">
      <c r="L956" s="11">
        <v>942</v>
      </c>
      <c r="M956" s="4">
        <v>0.69768175596415682</v>
      </c>
      <c r="N956" s="4">
        <v>1.0116139918359714</v>
      </c>
      <c r="O956" s="4">
        <v>0.97692158084644931</v>
      </c>
      <c r="P956" s="4">
        <v>0.83358174158117471</v>
      </c>
      <c r="Q956" s="4">
        <v>0.94065925281825147</v>
      </c>
      <c r="R956" s="4">
        <f t="shared" si="40"/>
        <v>0.89061062026090798</v>
      </c>
      <c r="S956" s="2">
        <f t="shared" si="41"/>
        <v>-0.10938937973909202</v>
      </c>
    </row>
    <row r="957" spans="12:19" x14ac:dyDescent="0.25">
      <c r="L957" s="11">
        <v>943</v>
      </c>
      <c r="M957" s="4">
        <v>1.2733093864340677</v>
      </c>
      <c r="N957" s="4">
        <v>1.0488127793389115</v>
      </c>
      <c r="O957" s="4">
        <v>1.1844961431481669</v>
      </c>
      <c r="P957" s="4">
        <v>1.1856745055560958</v>
      </c>
      <c r="Q957" s="4">
        <v>1.139940080105895</v>
      </c>
      <c r="R957" s="4">
        <f t="shared" si="40"/>
        <v>1.1717901459457605</v>
      </c>
      <c r="S957" s="2">
        <f t="shared" si="41"/>
        <v>0.17179014594576048</v>
      </c>
    </row>
    <row r="958" spans="12:19" x14ac:dyDescent="0.25">
      <c r="L958" s="11">
        <v>944</v>
      </c>
      <c r="M958" s="4">
        <v>1.1649095717141189</v>
      </c>
      <c r="N958" s="4">
        <v>1.1397179288186243</v>
      </c>
      <c r="O958" s="4">
        <v>1.2528621856216111</v>
      </c>
      <c r="P958" s="4">
        <v>1.1736803778880016</v>
      </c>
      <c r="Q958" s="4">
        <v>1.1087755181090293</v>
      </c>
      <c r="R958" s="4">
        <f t="shared" si="40"/>
        <v>1.1728103530986465</v>
      </c>
      <c r="S958" s="2">
        <f t="shared" si="41"/>
        <v>0.17281035309864645</v>
      </c>
    </row>
    <row r="959" spans="12:19" x14ac:dyDescent="0.25">
      <c r="L959" s="11">
        <v>945</v>
      </c>
      <c r="M959" s="4">
        <v>1.2636313781955053</v>
      </c>
      <c r="N959" s="4">
        <v>1.1210875760724299</v>
      </c>
      <c r="O959" s="4">
        <v>1.3857348236652769</v>
      </c>
      <c r="P959" s="4">
        <v>1.276387629789691</v>
      </c>
      <c r="Q959" s="4">
        <v>1.2017139101325862</v>
      </c>
      <c r="R959" s="4">
        <f t="shared" si="40"/>
        <v>1.2605622950956914</v>
      </c>
      <c r="S959" s="2">
        <f t="shared" si="41"/>
        <v>0.2605622950956914</v>
      </c>
    </row>
    <row r="960" spans="12:19" x14ac:dyDescent="0.25">
      <c r="L960" s="11">
        <v>946</v>
      </c>
      <c r="M960" s="4">
        <v>0.9333571532962972</v>
      </c>
      <c r="N960" s="4">
        <v>1.0137941218739486</v>
      </c>
      <c r="O960" s="4">
        <v>1.1188525881697446</v>
      </c>
      <c r="P960" s="4">
        <v>0.99361459292819521</v>
      </c>
      <c r="Q960" s="4">
        <v>1.0293608250147988</v>
      </c>
      <c r="R960" s="4">
        <f t="shared" si="40"/>
        <v>1.0219622927214456</v>
      </c>
      <c r="S960" s="2">
        <f t="shared" si="41"/>
        <v>2.1962292721445564E-2</v>
      </c>
    </row>
    <row r="961" spans="12:19" x14ac:dyDescent="0.25">
      <c r="L961" s="11">
        <v>947</v>
      </c>
      <c r="M961" s="4">
        <v>0.79594032802711079</v>
      </c>
      <c r="N961" s="4">
        <v>0.9806896649365342</v>
      </c>
      <c r="O961" s="4">
        <v>1.0481845758965886</v>
      </c>
      <c r="P961" s="4">
        <v>0.92111064456482683</v>
      </c>
      <c r="Q961" s="4">
        <v>1.0126047949181796</v>
      </c>
      <c r="R961" s="4">
        <f t="shared" si="40"/>
        <v>0.95428529549758223</v>
      </c>
      <c r="S961" s="2">
        <f t="shared" si="41"/>
        <v>-4.5714704502417769E-2</v>
      </c>
    </row>
    <row r="962" spans="12:19" x14ac:dyDescent="0.25">
      <c r="L962" s="11">
        <v>948</v>
      </c>
      <c r="M962" s="4">
        <v>1.3825140053665264</v>
      </c>
      <c r="N962" s="4">
        <v>1.1502174316335732</v>
      </c>
      <c r="O962" s="4">
        <v>1.2946581792797163</v>
      </c>
      <c r="P962" s="4">
        <v>1.2724243201049179</v>
      </c>
      <c r="Q962" s="4">
        <v>1.1394343451532867</v>
      </c>
      <c r="R962" s="4">
        <f t="shared" si="40"/>
        <v>1.2539137003060603</v>
      </c>
      <c r="S962" s="2">
        <f t="shared" si="41"/>
        <v>0.25391370030606031</v>
      </c>
    </row>
    <row r="963" spans="12:19" x14ac:dyDescent="0.25">
      <c r="L963" s="11">
        <v>949</v>
      </c>
      <c r="M963" s="4">
        <v>1.4895629100446719</v>
      </c>
      <c r="N963" s="4">
        <v>1.2729832824753875</v>
      </c>
      <c r="O963" s="4">
        <v>1.247310300649648</v>
      </c>
      <c r="P963" s="4">
        <v>1.3469421350831075</v>
      </c>
      <c r="Q963" s="4">
        <v>1.1695062745487783</v>
      </c>
      <c r="R963" s="4">
        <f t="shared" si="40"/>
        <v>1.304710409840512</v>
      </c>
      <c r="S963" s="2">
        <f t="shared" si="41"/>
        <v>0.30471040984051201</v>
      </c>
    </row>
    <row r="964" spans="12:19" x14ac:dyDescent="0.25">
      <c r="L964" s="11">
        <v>950</v>
      </c>
      <c r="M964" s="4">
        <v>1.2389534841640832</v>
      </c>
      <c r="N964" s="4">
        <v>0.87197462589641517</v>
      </c>
      <c r="O964" s="4">
        <v>1.2167720945515339</v>
      </c>
      <c r="P964" s="4">
        <v>1.1688401742341823</v>
      </c>
      <c r="Q964" s="4">
        <v>1.0893744995411518</v>
      </c>
      <c r="R964" s="4">
        <f t="shared" si="40"/>
        <v>1.1309795119804305</v>
      </c>
      <c r="S964" s="2">
        <f t="shared" si="41"/>
        <v>0.13097951198043045</v>
      </c>
    </row>
    <row r="965" spans="12:19" x14ac:dyDescent="0.25">
      <c r="L965" s="11">
        <v>951</v>
      </c>
      <c r="M965" s="4">
        <v>1.1511994287814413</v>
      </c>
      <c r="N965" s="4">
        <v>1.0435648891391602</v>
      </c>
      <c r="O965" s="4">
        <v>1.0431682090703143</v>
      </c>
      <c r="P965" s="4">
        <v>1.0725110665107691</v>
      </c>
      <c r="Q965" s="4">
        <v>1.1248662497363551</v>
      </c>
      <c r="R965" s="4">
        <f t="shared" si="40"/>
        <v>1.0865901140562535</v>
      </c>
      <c r="S965" s="2">
        <f t="shared" si="41"/>
        <v>8.6590114056253498E-2</v>
      </c>
    </row>
    <row r="966" spans="12:19" x14ac:dyDescent="0.25">
      <c r="L966" s="11">
        <v>952</v>
      </c>
      <c r="M966" s="4">
        <v>1.5433832395487124</v>
      </c>
      <c r="N966" s="4">
        <v>1.2404915243101331</v>
      </c>
      <c r="O966" s="4">
        <v>1.2629844202550329</v>
      </c>
      <c r="P966" s="4">
        <v>1.4334729548013809</v>
      </c>
      <c r="Q966" s="4">
        <v>1.3004099965029028</v>
      </c>
      <c r="R966" s="4">
        <f t="shared" si="40"/>
        <v>1.35732444937366</v>
      </c>
      <c r="S966" s="2">
        <f t="shared" si="41"/>
        <v>0.35732444937366004</v>
      </c>
    </row>
    <row r="967" spans="12:19" x14ac:dyDescent="0.25">
      <c r="L967" s="11">
        <v>953</v>
      </c>
      <c r="M967" s="4">
        <v>1.8786234629045075</v>
      </c>
      <c r="N967" s="4">
        <v>1.2130524101634965</v>
      </c>
      <c r="O967" s="4">
        <v>1.2922051261891476</v>
      </c>
      <c r="P967" s="4">
        <v>1.568883652193755</v>
      </c>
      <c r="Q967" s="4">
        <v>1.2415766436581799</v>
      </c>
      <c r="R967" s="4">
        <f t="shared" si="40"/>
        <v>1.4426710464403152</v>
      </c>
      <c r="S967" s="2">
        <f t="shared" si="41"/>
        <v>0.44267104644031519</v>
      </c>
    </row>
    <row r="968" spans="12:19" x14ac:dyDescent="0.25">
      <c r="L968" s="11">
        <v>954</v>
      </c>
      <c r="M968" s="4">
        <v>1.4661378073043352</v>
      </c>
      <c r="N968" s="4">
        <v>1.0722732953107779</v>
      </c>
      <c r="O968" s="4">
        <v>1.1848547283838131</v>
      </c>
      <c r="P968" s="4">
        <v>1.3661778592000051</v>
      </c>
      <c r="Q968" s="4">
        <v>1.2313343909923344</v>
      </c>
      <c r="R968" s="4">
        <f t="shared" si="40"/>
        <v>1.2689024961095527</v>
      </c>
      <c r="S968" s="2">
        <f t="shared" si="41"/>
        <v>0.26890249610955275</v>
      </c>
    </row>
    <row r="969" spans="12:19" x14ac:dyDescent="0.25">
      <c r="L969" s="11">
        <v>955</v>
      </c>
      <c r="M969" s="4">
        <v>1.4393702588463437</v>
      </c>
      <c r="N969" s="4">
        <v>1.2472038637855454</v>
      </c>
      <c r="O969" s="4">
        <v>1.2723676686175229</v>
      </c>
      <c r="P969" s="4">
        <v>1.2850992854038654</v>
      </c>
      <c r="Q969" s="4">
        <v>1.1696347994618681</v>
      </c>
      <c r="R969" s="4">
        <f t="shared" si="40"/>
        <v>1.2838997901125604</v>
      </c>
      <c r="S969" s="2">
        <f t="shared" si="41"/>
        <v>0.28389979011256039</v>
      </c>
    </row>
    <row r="970" spans="12:19" x14ac:dyDescent="0.25">
      <c r="L970" s="11">
        <v>956</v>
      </c>
      <c r="M970" s="4">
        <v>0.44336094965004991</v>
      </c>
      <c r="N970" s="4">
        <v>0.80571857612379527</v>
      </c>
      <c r="O970" s="4">
        <v>0.81337919620600951</v>
      </c>
      <c r="P970" s="4">
        <v>0.65397248841326427</v>
      </c>
      <c r="Q970" s="4">
        <v>0.86721543772202858</v>
      </c>
      <c r="R970" s="4">
        <f t="shared" si="40"/>
        <v>0.71659276906968516</v>
      </c>
      <c r="S970" s="2">
        <f t="shared" si="41"/>
        <v>-0.28340723093031484</v>
      </c>
    </row>
    <row r="971" spans="12:19" x14ac:dyDescent="0.25">
      <c r="L971" s="11">
        <v>957</v>
      </c>
      <c r="M971" s="4">
        <v>2.2282299126775795</v>
      </c>
      <c r="N971" s="4">
        <v>1.4383323034325204</v>
      </c>
      <c r="O971" s="4">
        <v>1.3563578429490482</v>
      </c>
      <c r="P971" s="4">
        <v>1.6944591533130315</v>
      </c>
      <c r="Q971" s="4">
        <v>1.3265746454580478</v>
      </c>
      <c r="R971" s="4">
        <f t="shared" si="40"/>
        <v>1.6058787882448577</v>
      </c>
      <c r="S971" s="2">
        <f t="shared" si="41"/>
        <v>0.60587878824485775</v>
      </c>
    </row>
    <row r="972" spans="12:19" x14ac:dyDescent="0.25">
      <c r="L972" s="11">
        <v>958</v>
      </c>
      <c r="M972" s="4">
        <v>1.036191144339178</v>
      </c>
      <c r="N972" s="4">
        <v>1.4421511443677901</v>
      </c>
      <c r="O972" s="4">
        <v>1.159406092379393</v>
      </c>
      <c r="P972" s="4">
        <v>1.0679692680739661</v>
      </c>
      <c r="Q972" s="4">
        <v>1.0683079901070978</v>
      </c>
      <c r="R972" s="4">
        <f t="shared" si="40"/>
        <v>1.1438033004589714</v>
      </c>
      <c r="S972" s="2">
        <f t="shared" si="41"/>
        <v>0.14380330045897138</v>
      </c>
    </row>
    <row r="973" spans="12:19" x14ac:dyDescent="0.25">
      <c r="L973" s="11">
        <v>959</v>
      </c>
      <c r="M973" s="4">
        <v>1.3740276201956694</v>
      </c>
      <c r="N973" s="4">
        <v>1.1765465821135255</v>
      </c>
      <c r="O973" s="4">
        <v>1.3690858595321191</v>
      </c>
      <c r="P973" s="4">
        <v>1.2630930102479199</v>
      </c>
      <c r="Q973" s="4">
        <v>1.1573628948803656</v>
      </c>
      <c r="R973" s="4">
        <f t="shared" si="40"/>
        <v>1.2758861682355431</v>
      </c>
      <c r="S973" s="2">
        <f t="shared" si="41"/>
        <v>0.27588616823554313</v>
      </c>
    </row>
    <row r="974" spans="12:19" x14ac:dyDescent="0.25">
      <c r="L974" s="11">
        <v>960</v>
      </c>
      <c r="M974" s="4">
        <v>1.8254775093693745</v>
      </c>
      <c r="N974" s="4">
        <v>1.4362893515278492</v>
      </c>
      <c r="O974" s="4">
        <v>1.4383754816041314</v>
      </c>
      <c r="P974" s="4">
        <v>1.6116765325375582</v>
      </c>
      <c r="Q974" s="4">
        <v>1.2922200677789495</v>
      </c>
      <c r="R974" s="4">
        <f t="shared" si="40"/>
        <v>1.5218236302155781</v>
      </c>
      <c r="S974" s="2">
        <f t="shared" si="41"/>
        <v>0.52182363021557809</v>
      </c>
    </row>
    <row r="975" spans="12:19" x14ac:dyDescent="0.25">
      <c r="L975" s="11">
        <v>961</v>
      </c>
      <c r="M975" s="4">
        <v>0.63778981321308859</v>
      </c>
      <c r="N975" s="4">
        <v>0.98113328682207268</v>
      </c>
      <c r="O975" s="4">
        <v>0.85855592387496438</v>
      </c>
      <c r="P975" s="4">
        <v>0.78652558568222619</v>
      </c>
      <c r="Q975" s="4">
        <v>0.94579864306387496</v>
      </c>
      <c r="R975" s="4">
        <f t="shared" ref="R975:R1014" si="42">SUMPRODUCT(M975:Q975,$M$8:$Q$8)</f>
        <v>0.83676905877784957</v>
      </c>
      <c r="S975" s="2">
        <f t="shared" si="41"/>
        <v>-0.16323094122215043</v>
      </c>
    </row>
    <row r="976" spans="12:19" x14ac:dyDescent="0.25">
      <c r="L976" s="11">
        <v>962</v>
      </c>
      <c r="M976" s="4">
        <v>1.8975215104481682</v>
      </c>
      <c r="N976" s="4">
        <v>1.3460807259921119</v>
      </c>
      <c r="O976" s="4">
        <v>1.2698339249097632</v>
      </c>
      <c r="P976" s="4">
        <v>1.6127982724973811</v>
      </c>
      <c r="Q976" s="4">
        <v>1.2677574054976015</v>
      </c>
      <c r="R976" s="4">
        <f t="shared" si="42"/>
        <v>1.4766030039707887</v>
      </c>
      <c r="S976" s="2">
        <f t="shared" ref="S976:S1014" si="43">R976-1</f>
        <v>0.4766030039707887</v>
      </c>
    </row>
    <row r="977" spans="12:19" x14ac:dyDescent="0.25">
      <c r="L977" s="11">
        <v>963</v>
      </c>
      <c r="M977" s="4">
        <v>1.1846529080616996</v>
      </c>
      <c r="N977" s="4">
        <v>1.08677639661485</v>
      </c>
      <c r="O977" s="4">
        <v>1.2330214132742421</v>
      </c>
      <c r="P977" s="4">
        <v>1.1580242566509675</v>
      </c>
      <c r="Q977" s="4">
        <v>1.0762486179349411</v>
      </c>
      <c r="R977" s="4">
        <f t="shared" si="42"/>
        <v>1.1538611638404273</v>
      </c>
      <c r="S977" s="2">
        <f t="shared" si="43"/>
        <v>0.15386116384042725</v>
      </c>
    </row>
    <row r="978" spans="12:19" x14ac:dyDescent="0.25">
      <c r="L978" s="11">
        <v>964</v>
      </c>
      <c r="M978" s="4">
        <v>1.7760886262231073</v>
      </c>
      <c r="N978" s="4">
        <v>1.3189804370035072</v>
      </c>
      <c r="O978" s="4">
        <v>1.2720229866797794</v>
      </c>
      <c r="P978" s="4">
        <v>1.5040109660099157</v>
      </c>
      <c r="Q978" s="4">
        <v>1.2404571079788331</v>
      </c>
      <c r="R978" s="4">
        <f t="shared" si="42"/>
        <v>1.420960974633479</v>
      </c>
      <c r="S978" s="2">
        <f t="shared" si="43"/>
        <v>0.42096097463347903</v>
      </c>
    </row>
    <row r="979" spans="12:19" x14ac:dyDescent="0.25">
      <c r="L979" s="11">
        <v>965</v>
      </c>
      <c r="M979" s="4">
        <v>1.0735270590635189</v>
      </c>
      <c r="N979" s="4">
        <v>0.92155866135258624</v>
      </c>
      <c r="O979" s="4">
        <v>1.1018090830479528</v>
      </c>
      <c r="P979" s="4">
        <v>1.0159652495021114</v>
      </c>
      <c r="Q979" s="4">
        <v>1.0279314535216255</v>
      </c>
      <c r="R979" s="4">
        <f t="shared" si="42"/>
        <v>1.0350921203858336</v>
      </c>
      <c r="S979" s="2">
        <f t="shared" si="43"/>
        <v>3.5092120385833647E-2</v>
      </c>
    </row>
    <row r="980" spans="12:19" x14ac:dyDescent="0.25">
      <c r="L980" s="11">
        <v>966</v>
      </c>
      <c r="M980" s="4">
        <v>3.0747445852953614</v>
      </c>
      <c r="N980" s="4">
        <v>1.5885400548718103</v>
      </c>
      <c r="O980" s="4">
        <v>1.4923363890007804</v>
      </c>
      <c r="P980" s="4">
        <v>2.2313779935742515</v>
      </c>
      <c r="Q980" s="4">
        <v>1.4888547627788358</v>
      </c>
      <c r="R980" s="4">
        <f t="shared" si="42"/>
        <v>1.9725568668592472</v>
      </c>
      <c r="S980" s="2">
        <f t="shared" si="43"/>
        <v>0.97255686685924725</v>
      </c>
    </row>
    <row r="981" spans="12:19" x14ac:dyDescent="0.25">
      <c r="L981" s="11">
        <v>967</v>
      </c>
      <c r="M981" s="4">
        <v>1.0130190131339591</v>
      </c>
      <c r="N981" s="4">
        <v>1.1380575901869125</v>
      </c>
      <c r="O981" s="4">
        <v>1.1489222342852128</v>
      </c>
      <c r="P981" s="4">
        <v>1.1289819570062816</v>
      </c>
      <c r="Q981" s="4">
        <v>1.0892019770183714</v>
      </c>
      <c r="R981" s="4">
        <f t="shared" si="42"/>
        <v>1.1045455284888992</v>
      </c>
      <c r="S981" s="2">
        <f t="shared" si="43"/>
        <v>0.1045455284888992</v>
      </c>
    </row>
    <row r="982" spans="12:19" x14ac:dyDescent="0.25">
      <c r="L982" s="11">
        <v>968</v>
      </c>
      <c r="M982" s="4">
        <v>1.0626444068849081</v>
      </c>
      <c r="N982" s="4">
        <v>1.0413766268186284</v>
      </c>
      <c r="O982" s="4">
        <v>1.1541675810502801</v>
      </c>
      <c r="P982" s="4">
        <v>1.0488648902430291</v>
      </c>
      <c r="Q982" s="4">
        <v>1.0533117299060677</v>
      </c>
      <c r="R982" s="4">
        <f t="shared" si="42"/>
        <v>1.0765050627409176</v>
      </c>
      <c r="S982" s="2">
        <f t="shared" si="43"/>
        <v>7.6505062740917618E-2</v>
      </c>
    </row>
    <row r="983" spans="12:19" x14ac:dyDescent="0.25">
      <c r="L983" s="11">
        <v>969</v>
      </c>
      <c r="M983" s="4">
        <v>1.4182530943621388</v>
      </c>
      <c r="N983" s="4">
        <v>1.1529577989652062</v>
      </c>
      <c r="O983" s="4">
        <v>1.1957058040155204</v>
      </c>
      <c r="P983" s="4">
        <v>1.2115398447681358</v>
      </c>
      <c r="Q983" s="4">
        <v>1.1654401774331333</v>
      </c>
      <c r="R983" s="4">
        <f t="shared" si="42"/>
        <v>1.2301737721908441</v>
      </c>
      <c r="S983" s="2">
        <f t="shared" si="43"/>
        <v>0.23017377219084412</v>
      </c>
    </row>
    <row r="984" spans="12:19" x14ac:dyDescent="0.25">
      <c r="L984" s="11">
        <v>970</v>
      </c>
      <c r="M984" s="4">
        <v>1.284935741195472</v>
      </c>
      <c r="N984" s="4">
        <v>1.1947422722753063</v>
      </c>
      <c r="O984" s="4">
        <v>1.1019633239083539</v>
      </c>
      <c r="P984" s="4">
        <v>1.2572804357324021</v>
      </c>
      <c r="Q984" s="4">
        <v>1.1229044583321552</v>
      </c>
      <c r="R984" s="4">
        <f t="shared" si="42"/>
        <v>1.1892202405352919</v>
      </c>
      <c r="S984" s="2">
        <f t="shared" si="43"/>
        <v>0.18922024053529185</v>
      </c>
    </row>
    <row r="985" spans="12:19" x14ac:dyDescent="0.25">
      <c r="L985" s="11">
        <v>971</v>
      </c>
      <c r="M985" s="4">
        <v>0.82190477816731411</v>
      </c>
      <c r="N985" s="4">
        <v>0.88781552529195829</v>
      </c>
      <c r="O985" s="4">
        <v>1.058154355834741</v>
      </c>
      <c r="P985" s="4">
        <v>0.93696464342573982</v>
      </c>
      <c r="Q985" s="4">
        <v>0.96375222124387161</v>
      </c>
      <c r="R985" s="4">
        <f t="shared" si="42"/>
        <v>0.9406262486287934</v>
      </c>
      <c r="S985" s="2">
        <f t="shared" si="43"/>
        <v>-5.9373751371206596E-2</v>
      </c>
    </row>
    <row r="986" spans="12:19" x14ac:dyDescent="0.25">
      <c r="L986" s="11">
        <v>972</v>
      </c>
      <c r="M986" s="4">
        <v>1.0181103687336401</v>
      </c>
      <c r="N986" s="4">
        <v>1.1270746145386077</v>
      </c>
      <c r="O986" s="4">
        <v>1.1512409029337567</v>
      </c>
      <c r="P986" s="4">
        <v>1.0564840589837248</v>
      </c>
      <c r="Q986" s="4">
        <v>1.054549092382008</v>
      </c>
      <c r="R986" s="4">
        <f t="shared" si="42"/>
        <v>1.0825899878959269</v>
      </c>
      <c r="S986" s="2">
        <f t="shared" si="43"/>
        <v>8.2589987895926864E-2</v>
      </c>
    </row>
    <row r="987" spans="12:19" x14ac:dyDescent="0.25">
      <c r="L987" s="11">
        <v>973</v>
      </c>
      <c r="M987" s="4">
        <v>1.6500835724173739</v>
      </c>
      <c r="N987" s="4">
        <v>1.5692380700694866</v>
      </c>
      <c r="O987" s="4">
        <v>1.3667028278200501</v>
      </c>
      <c r="P987" s="4">
        <v>1.5969145422818922</v>
      </c>
      <c r="Q987" s="4">
        <v>1.3002151074963808</v>
      </c>
      <c r="R987" s="4">
        <f t="shared" si="42"/>
        <v>1.4898510445066593</v>
      </c>
      <c r="S987" s="2">
        <f t="shared" si="43"/>
        <v>0.48985104450665928</v>
      </c>
    </row>
    <row r="988" spans="12:19" x14ac:dyDescent="0.25">
      <c r="L988" s="11">
        <v>974</v>
      </c>
      <c r="M988" s="4">
        <v>1.9004918531878066</v>
      </c>
      <c r="N988" s="4">
        <v>1.3632085885102416</v>
      </c>
      <c r="O988" s="4">
        <v>1.4311009694999062</v>
      </c>
      <c r="P988" s="4">
        <v>1.6406665679361812</v>
      </c>
      <c r="Q988" s="4">
        <v>1.2793900327510612</v>
      </c>
      <c r="R988" s="4">
        <f t="shared" si="42"/>
        <v>1.5266477911895011</v>
      </c>
      <c r="S988" s="2">
        <f t="shared" si="43"/>
        <v>0.52664779118950111</v>
      </c>
    </row>
    <row r="989" spans="12:19" x14ac:dyDescent="0.25">
      <c r="L989" s="11">
        <v>975</v>
      </c>
      <c r="M989" s="4">
        <v>1.579117303954904</v>
      </c>
      <c r="N989" s="4">
        <v>1.3836199871824948</v>
      </c>
      <c r="O989" s="4">
        <v>1.2498826349715566</v>
      </c>
      <c r="P989" s="4">
        <v>1.4157784278007868</v>
      </c>
      <c r="Q989" s="4">
        <v>1.191083766720423</v>
      </c>
      <c r="R989" s="4">
        <f t="shared" si="42"/>
        <v>1.3592405520089994</v>
      </c>
      <c r="S989" s="2">
        <f t="shared" si="43"/>
        <v>0.3592405520089994</v>
      </c>
    </row>
    <row r="990" spans="12:19" x14ac:dyDescent="0.25">
      <c r="L990" s="11">
        <v>976</v>
      </c>
      <c r="M990" s="4">
        <v>1.0573648811011058</v>
      </c>
      <c r="N990" s="4">
        <v>1.0613412634918695</v>
      </c>
      <c r="O990" s="4">
        <v>1.1103260470607863</v>
      </c>
      <c r="P990" s="4">
        <v>1.1215933755471577</v>
      </c>
      <c r="Q990" s="4">
        <v>1.0378965362681412</v>
      </c>
      <c r="R990" s="4">
        <f t="shared" si="42"/>
        <v>1.0801834464284275</v>
      </c>
      <c r="S990" s="2">
        <f t="shared" si="43"/>
        <v>8.0183446428427452E-2</v>
      </c>
    </row>
    <row r="991" spans="12:19" x14ac:dyDescent="0.25">
      <c r="L991" s="11">
        <v>977</v>
      </c>
      <c r="M991" s="4">
        <v>1.6229238110071886</v>
      </c>
      <c r="N991" s="4">
        <v>1.4079392072493941</v>
      </c>
      <c r="O991" s="4">
        <v>1.2747068961827863</v>
      </c>
      <c r="P991" s="4">
        <v>1.3956100133719145</v>
      </c>
      <c r="Q991" s="4">
        <v>1.2202236381586238</v>
      </c>
      <c r="R991" s="4">
        <f t="shared" si="42"/>
        <v>1.3792743519123616</v>
      </c>
      <c r="S991" s="2">
        <f t="shared" si="43"/>
        <v>0.37927435191236158</v>
      </c>
    </row>
    <row r="992" spans="12:19" x14ac:dyDescent="0.25">
      <c r="L992" s="11">
        <v>978</v>
      </c>
      <c r="M992" s="4">
        <v>2.2258888032904101</v>
      </c>
      <c r="N992" s="4">
        <v>1.4686491676446916</v>
      </c>
      <c r="O992" s="4">
        <v>1.3723918089449263</v>
      </c>
      <c r="P992" s="4">
        <v>1.822846545985366</v>
      </c>
      <c r="Q992" s="4">
        <v>1.3257497104796485</v>
      </c>
      <c r="R992" s="4">
        <f t="shared" si="42"/>
        <v>1.6405151670297307</v>
      </c>
      <c r="S992" s="2">
        <f t="shared" si="43"/>
        <v>0.64051516702973066</v>
      </c>
    </row>
    <row r="993" spans="12:19" x14ac:dyDescent="0.25">
      <c r="L993" s="11">
        <v>979</v>
      </c>
      <c r="M993" s="4">
        <v>1.180454682402132</v>
      </c>
      <c r="N993" s="4">
        <v>1.1682941073709296</v>
      </c>
      <c r="O993" s="4">
        <v>1.1467196344808599</v>
      </c>
      <c r="P993" s="4">
        <v>1.1036902895730314</v>
      </c>
      <c r="Q993" s="4">
        <v>1.110527065033742</v>
      </c>
      <c r="R993" s="4">
        <f t="shared" si="42"/>
        <v>1.1408903559849615</v>
      </c>
      <c r="S993" s="2">
        <f t="shared" si="43"/>
        <v>0.14089035598496147</v>
      </c>
    </row>
    <row r="994" spans="12:19" x14ac:dyDescent="0.25">
      <c r="L994" s="11">
        <v>980</v>
      </c>
      <c r="M994" s="4">
        <v>2.1545252095732383</v>
      </c>
      <c r="N994" s="4">
        <v>1.3026337694470693</v>
      </c>
      <c r="O994" s="4">
        <v>1.4776917883803522</v>
      </c>
      <c r="P994" s="4">
        <v>1.7399859242888418</v>
      </c>
      <c r="Q994" s="4">
        <v>1.3250842796576621</v>
      </c>
      <c r="R994" s="4">
        <f t="shared" si="42"/>
        <v>1.6077329728344241</v>
      </c>
      <c r="S994" s="2">
        <f t="shared" si="43"/>
        <v>0.60773297283442407</v>
      </c>
    </row>
    <row r="995" spans="12:19" x14ac:dyDescent="0.25">
      <c r="L995" s="11">
        <v>981</v>
      </c>
      <c r="M995" s="4">
        <v>1.7222602133201332</v>
      </c>
      <c r="N995" s="4">
        <v>1.2108546565879468</v>
      </c>
      <c r="O995" s="4">
        <v>1.1741265982168847</v>
      </c>
      <c r="P995" s="4">
        <v>1.4028187588096219</v>
      </c>
      <c r="Q995" s="4">
        <v>1.3054143402402285</v>
      </c>
      <c r="R995" s="4">
        <f t="shared" si="42"/>
        <v>1.3612347631694026</v>
      </c>
      <c r="S995" s="2">
        <f t="shared" si="43"/>
        <v>0.36123476316940262</v>
      </c>
    </row>
    <row r="996" spans="12:19" x14ac:dyDescent="0.25">
      <c r="L996" s="11">
        <v>982</v>
      </c>
      <c r="M996" s="4">
        <v>1.8547953569345665</v>
      </c>
      <c r="N996" s="4">
        <v>1.3781234425799145</v>
      </c>
      <c r="O996" s="4">
        <v>1.4557832627551981</v>
      </c>
      <c r="P996" s="4">
        <v>1.552551555449776</v>
      </c>
      <c r="Q996" s="4">
        <v>1.2675427365522878</v>
      </c>
      <c r="R996" s="4">
        <f t="shared" si="42"/>
        <v>1.5054044658503456</v>
      </c>
      <c r="S996" s="2">
        <f t="shared" si="43"/>
        <v>0.5054044658503456</v>
      </c>
    </row>
    <row r="997" spans="12:19" x14ac:dyDescent="0.25">
      <c r="L997" s="11">
        <v>983</v>
      </c>
      <c r="M997" s="4">
        <v>0.65357953604091634</v>
      </c>
      <c r="N997" s="4">
        <v>0.88360257324573521</v>
      </c>
      <c r="O997" s="4">
        <v>1.2702369637887281</v>
      </c>
      <c r="P997" s="4">
        <v>0.82792905888252499</v>
      </c>
      <c r="Q997" s="4">
        <v>0.91581694228959076</v>
      </c>
      <c r="R997" s="4">
        <f t="shared" si="42"/>
        <v>0.92565227812761575</v>
      </c>
      <c r="S997" s="2">
        <f t="shared" si="43"/>
        <v>-7.4347721872384254E-2</v>
      </c>
    </row>
    <row r="998" spans="12:19" x14ac:dyDescent="0.25">
      <c r="L998" s="11">
        <v>984</v>
      </c>
      <c r="M998" s="4">
        <v>1.7292656628775473</v>
      </c>
      <c r="N998" s="4">
        <v>1.2393725697967426</v>
      </c>
      <c r="O998" s="4">
        <v>1.2332476466179978</v>
      </c>
      <c r="P998" s="4">
        <v>1.4474283856872412</v>
      </c>
      <c r="Q998" s="4">
        <v>1.2269666242731851</v>
      </c>
      <c r="R998" s="4">
        <f t="shared" si="42"/>
        <v>1.3752890105108972</v>
      </c>
      <c r="S998" s="2">
        <f t="shared" si="43"/>
        <v>0.37528901051089725</v>
      </c>
    </row>
    <row r="999" spans="12:19" x14ac:dyDescent="0.25">
      <c r="L999" s="11">
        <v>985</v>
      </c>
      <c r="M999" s="4">
        <v>1.0519638527102784</v>
      </c>
      <c r="N999" s="4">
        <v>1.0587496293027179</v>
      </c>
      <c r="O999" s="4">
        <v>1.1761611250021393</v>
      </c>
      <c r="P999" s="4">
        <v>1.1065559441396142</v>
      </c>
      <c r="Q999" s="4">
        <v>1.1198149826370067</v>
      </c>
      <c r="R999" s="4">
        <f t="shared" si="42"/>
        <v>1.1073690778660734</v>
      </c>
      <c r="S999" s="2">
        <f t="shared" si="43"/>
        <v>0.10736907786607341</v>
      </c>
    </row>
    <row r="1000" spans="12:19" x14ac:dyDescent="0.25">
      <c r="L1000" s="11">
        <v>986</v>
      </c>
      <c r="M1000" s="4">
        <v>1.10165766119354</v>
      </c>
      <c r="N1000" s="4">
        <v>0.97945433616726285</v>
      </c>
      <c r="O1000" s="4">
        <v>1.1915366748475644</v>
      </c>
      <c r="P1000" s="4">
        <v>1.1068707348783939</v>
      </c>
      <c r="Q1000" s="4">
        <v>1.0616460806662451</v>
      </c>
      <c r="R1000" s="4">
        <f t="shared" si="42"/>
        <v>1.0968452448517183</v>
      </c>
      <c r="S1000" s="2">
        <f t="shared" si="43"/>
        <v>9.6845244851718304E-2</v>
      </c>
    </row>
    <row r="1001" spans="12:19" x14ac:dyDescent="0.25">
      <c r="L1001" s="11">
        <v>987</v>
      </c>
      <c r="M1001" s="4">
        <v>2.0172818352563389</v>
      </c>
      <c r="N1001" s="4">
        <v>1.4233270422958035</v>
      </c>
      <c r="O1001" s="4">
        <v>1.4075987773817062</v>
      </c>
      <c r="P1001" s="4">
        <v>1.7897456919249255</v>
      </c>
      <c r="Q1001" s="4">
        <v>1.2781843703678433</v>
      </c>
      <c r="R1001" s="4">
        <f t="shared" si="42"/>
        <v>1.5843323466350947</v>
      </c>
      <c r="S1001" s="2">
        <f t="shared" si="43"/>
        <v>0.5843323466350947</v>
      </c>
    </row>
    <row r="1002" spans="12:19" x14ac:dyDescent="0.25">
      <c r="L1002" s="11">
        <v>988</v>
      </c>
      <c r="M1002" s="4">
        <v>1.5595582838808923</v>
      </c>
      <c r="N1002" s="4">
        <v>1.1518709964376794</v>
      </c>
      <c r="O1002" s="4">
        <v>1.2896657354945387</v>
      </c>
      <c r="P1002" s="4">
        <v>1.3543845060803468</v>
      </c>
      <c r="Q1002" s="4">
        <v>1.2134896672356394</v>
      </c>
      <c r="R1002" s="4">
        <f t="shared" si="42"/>
        <v>1.3193624233601275</v>
      </c>
      <c r="S1002" s="2">
        <f t="shared" si="43"/>
        <v>0.31936242336012755</v>
      </c>
    </row>
    <row r="1003" spans="12:19" x14ac:dyDescent="0.25">
      <c r="L1003" s="11">
        <v>989</v>
      </c>
      <c r="M1003" s="4">
        <v>3.0019161235922658</v>
      </c>
      <c r="N1003" s="4">
        <v>1.6803700296350588</v>
      </c>
      <c r="O1003" s="4">
        <v>1.5212003566480614</v>
      </c>
      <c r="P1003" s="4">
        <v>2.1617729581539784</v>
      </c>
      <c r="Q1003" s="4">
        <v>1.4882406667846784</v>
      </c>
      <c r="R1003" s="4">
        <f t="shared" si="42"/>
        <v>1.9653330566006246</v>
      </c>
      <c r="S1003" s="2">
        <f t="shared" si="43"/>
        <v>0.96533305660062463</v>
      </c>
    </row>
    <row r="1004" spans="12:19" x14ac:dyDescent="0.25">
      <c r="L1004" s="11">
        <v>990</v>
      </c>
      <c r="M1004" s="4">
        <v>0.75663038475487265</v>
      </c>
      <c r="N1004" s="4">
        <v>1.008211826181348</v>
      </c>
      <c r="O1004" s="4">
        <v>0.92903563199053829</v>
      </c>
      <c r="P1004" s="4">
        <v>0.90882385545931821</v>
      </c>
      <c r="Q1004" s="4">
        <v>0.93929069484498595</v>
      </c>
      <c r="R1004" s="4">
        <f t="shared" si="42"/>
        <v>0.90551635643824124</v>
      </c>
      <c r="S1004" s="2">
        <f t="shared" si="43"/>
        <v>-9.4483643561758757E-2</v>
      </c>
    </row>
    <row r="1005" spans="12:19" x14ac:dyDescent="0.25">
      <c r="L1005" s="11">
        <v>991</v>
      </c>
      <c r="M1005" s="4">
        <v>1.4819050442416268</v>
      </c>
      <c r="N1005" s="4">
        <v>1.4386182105095449</v>
      </c>
      <c r="O1005" s="4">
        <v>1.1457166667454586</v>
      </c>
      <c r="P1005" s="4">
        <v>1.3318179825292773</v>
      </c>
      <c r="Q1005" s="4">
        <v>1.1593623393286308</v>
      </c>
      <c r="R1005" s="4">
        <f t="shared" si="42"/>
        <v>1.3003393369925103</v>
      </c>
      <c r="S1005" s="2">
        <f t="shared" si="43"/>
        <v>0.30033933699251025</v>
      </c>
    </row>
    <row r="1006" spans="12:19" x14ac:dyDescent="0.25">
      <c r="L1006" s="11">
        <v>992</v>
      </c>
      <c r="M1006" s="4">
        <v>1.9106115080788026</v>
      </c>
      <c r="N1006" s="4">
        <v>1.3984437475999303</v>
      </c>
      <c r="O1006" s="4">
        <v>1.2274395249240351</v>
      </c>
      <c r="P1006" s="4">
        <v>1.6537066766725914</v>
      </c>
      <c r="Q1006" s="4">
        <v>1.2866655686987614</v>
      </c>
      <c r="R1006" s="4">
        <f t="shared" si="42"/>
        <v>1.4895842143492897</v>
      </c>
      <c r="S1006" s="2">
        <f t="shared" si="43"/>
        <v>0.48958421434928967</v>
      </c>
    </row>
    <row r="1007" spans="12:19" x14ac:dyDescent="0.25">
      <c r="L1007" s="11">
        <v>993</v>
      </c>
      <c r="M1007" s="4">
        <v>1.3116218364745702</v>
      </c>
      <c r="N1007" s="4">
        <v>1.1723812564467733</v>
      </c>
      <c r="O1007" s="4">
        <v>1.1171628291775946</v>
      </c>
      <c r="P1007" s="4">
        <v>1.2101289329306228</v>
      </c>
      <c r="Q1007" s="4">
        <v>1.1255388498179952</v>
      </c>
      <c r="R1007" s="4">
        <f t="shared" si="42"/>
        <v>1.1853108458540327</v>
      </c>
      <c r="S1007" s="2">
        <f t="shared" si="43"/>
        <v>0.18531084585403268</v>
      </c>
    </row>
    <row r="1008" spans="12:19" x14ac:dyDescent="0.25">
      <c r="L1008" s="11">
        <v>994</v>
      </c>
      <c r="M1008" s="4">
        <v>1.4610089200121654</v>
      </c>
      <c r="N1008" s="4">
        <v>1.1560443509114049</v>
      </c>
      <c r="O1008" s="4">
        <v>1.3457068118925801</v>
      </c>
      <c r="P1008" s="4">
        <v>1.3883897691646705</v>
      </c>
      <c r="Q1008" s="4">
        <v>1.1510312554053865</v>
      </c>
      <c r="R1008" s="4">
        <f t="shared" si="42"/>
        <v>1.3088400654935008</v>
      </c>
      <c r="S1008" s="2">
        <f t="shared" si="43"/>
        <v>0.30884006549350085</v>
      </c>
    </row>
    <row r="1009" spans="12:19" x14ac:dyDescent="0.25">
      <c r="L1009" s="11">
        <v>995</v>
      </c>
      <c r="M1009" s="4">
        <v>0.46514828778093392</v>
      </c>
      <c r="N1009" s="4">
        <v>0.71618897692958639</v>
      </c>
      <c r="O1009" s="4">
        <v>0.8144099372451159</v>
      </c>
      <c r="P1009" s="4">
        <v>0.62767560132586098</v>
      </c>
      <c r="Q1009" s="4">
        <v>0.80735751366034625</v>
      </c>
      <c r="R1009" s="4">
        <f t="shared" si="42"/>
        <v>0.68963927632466293</v>
      </c>
      <c r="S1009" s="2">
        <f t="shared" si="43"/>
        <v>-0.31036072367533707</v>
      </c>
    </row>
    <row r="1010" spans="12:19" x14ac:dyDescent="0.25">
      <c r="L1010" s="11">
        <v>996</v>
      </c>
      <c r="M1010" s="4">
        <v>1.3851043835188754</v>
      </c>
      <c r="N1010" s="4">
        <v>1.363409564496449</v>
      </c>
      <c r="O1010" s="4">
        <v>1.2552832278020389</v>
      </c>
      <c r="P1010" s="4">
        <v>1.249496095925011</v>
      </c>
      <c r="Q1010" s="4">
        <v>1.1675451220413442</v>
      </c>
      <c r="R1010" s="4">
        <f t="shared" si="42"/>
        <v>1.2799827663778283</v>
      </c>
      <c r="S1010" s="2">
        <f t="shared" si="43"/>
        <v>0.27998276637782826</v>
      </c>
    </row>
    <row r="1011" spans="12:19" x14ac:dyDescent="0.25">
      <c r="L1011" s="11">
        <v>997</v>
      </c>
      <c r="M1011" s="4">
        <v>1.2409183960491905</v>
      </c>
      <c r="N1011" s="4">
        <v>1.1250417139379161</v>
      </c>
      <c r="O1011" s="4">
        <v>1.1989510450948349</v>
      </c>
      <c r="P1011" s="4">
        <v>1.1918399852961774</v>
      </c>
      <c r="Q1011" s="4">
        <v>1.0957204750826117</v>
      </c>
      <c r="R1011" s="4">
        <f t="shared" si="42"/>
        <v>1.173747643847719</v>
      </c>
      <c r="S1011" s="2">
        <f t="shared" si="43"/>
        <v>0.17374764384771901</v>
      </c>
    </row>
    <row r="1012" spans="12:19" x14ac:dyDescent="0.25">
      <c r="L1012" s="11">
        <v>998</v>
      </c>
      <c r="M1012" s="4">
        <v>0.64543461397702429</v>
      </c>
      <c r="N1012" s="4">
        <v>1.0140048624043105</v>
      </c>
      <c r="O1012" s="4">
        <v>0.95492005150844417</v>
      </c>
      <c r="P1012" s="4">
        <v>0.72083032596530727</v>
      </c>
      <c r="Q1012" s="4">
        <v>0.90229925815817313</v>
      </c>
      <c r="R1012" s="4">
        <f t="shared" si="42"/>
        <v>0.84459683364434535</v>
      </c>
      <c r="S1012" s="2">
        <f t="shared" si="43"/>
        <v>-0.15540316635565465</v>
      </c>
    </row>
    <row r="1013" spans="12:19" x14ac:dyDescent="0.25">
      <c r="L1013" s="11">
        <v>999</v>
      </c>
      <c r="M1013" s="4">
        <v>2.3653102186560075</v>
      </c>
      <c r="N1013" s="4">
        <v>1.5353810886922425</v>
      </c>
      <c r="O1013" s="4">
        <v>1.4051386438938007</v>
      </c>
      <c r="P1013" s="4">
        <v>1.8512586666823094</v>
      </c>
      <c r="Q1013" s="4">
        <v>1.3769982425840874</v>
      </c>
      <c r="R1013" s="4">
        <f t="shared" si="42"/>
        <v>1.7025140154097902</v>
      </c>
      <c r="S1013" s="2">
        <f t="shared" si="43"/>
        <v>0.70251401540979019</v>
      </c>
    </row>
    <row r="1014" spans="12:19" x14ac:dyDescent="0.25">
      <c r="L1014" s="11">
        <v>1000</v>
      </c>
      <c r="M1014" s="4">
        <v>4.0646307066652465</v>
      </c>
      <c r="N1014" s="4">
        <v>1.8363552692843128</v>
      </c>
      <c r="O1014" s="4">
        <v>1.7024174241387726</v>
      </c>
      <c r="P1014" s="4">
        <v>2.3583488157663974</v>
      </c>
      <c r="Q1014" s="4">
        <v>1.6661885652604567</v>
      </c>
      <c r="R1014" s="4">
        <f t="shared" si="42"/>
        <v>2.3191971746683975</v>
      </c>
      <c r="S1014" s="2">
        <f t="shared" si="43"/>
        <v>1.3191971746683975</v>
      </c>
    </row>
  </sheetData>
  <sheetProtection sheet="1" objects="1" scenarios="1"/>
  <scenarios current="0">
    <scenario name="Fund alloc for min 10% return with minimized risk" count="5" user="CS" comment="Created by CS on 1/14/2022">
      <inputCells r="M8" val="0.17185419344092" numFmtId="166"/>
      <inputCells r="N8" val="0.185366512404051" numFmtId="166"/>
      <inputCells r="O8" val="0.241449601987381" numFmtId="166"/>
      <inputCells r="P8" val="0.213907209006623" numFmtId="166"/>
      <inputCells r="Q8" val="0.187422483161025" numFmtId="166"/>
    </scenario>
    <scenario name="Min profit 15%" count="5" user="CS" comment="Created by CS on 1/18/2022">
      <inputCells r="M8" val="0.197577090013621" numFmtId="166"/>
      <inputCells r="N8" val="0.160667752159729" numFmtId="166"/>
      <inputCells r="O8" val="0.239811299081133" numFmtId="166"/>
      <inputCells r="P8" val="0.206748363401054" numFmtId="166"/>
      <inputCells r="Q8" val="0.195195495344464" numFmtId="166"/>
    </scenario>
  </scenarios>
  <autoFilter ref="D8:J13" xr:uid="{A87632EE-8E31-4F75-9241-FD94EBFE2F23}">
    <sortState xmlns:xlrd2="http://schemas.microsoft.com/office/spreadsheetml/2017/richdata2" ref="D9:J13">
      <sortCondition descending="1" ref="E8:E13"/>
    </sortState>
  </autoFilter>
  <conditionalFormatting sqref="E9:E13">
    <cfRule type="colorScale" priority="11">
      <colorScale>
        <cfvo type="min"/>
        <cfvo type="max"/>
        <color rgb="FFFCFCFF"/>
        <color rgb="FF7DBDB8"/>
      </colorScale>
    </cfRule>
  </conditionalFormatting>
  <conditionalFormatting sqref="F9:G13">
    <cfRule type="colorScale" priority="10">
      <colorScale>
        <cfvo type="min"/>
        <cfvo type="max"/>
        <color rgb="FFFCFCFF"/>
        <color rgb="FF7DBDB8"/>
      </colorScale>
    </cfRule>
  </conditionalFormatting>
  <conditionalFormatting sqref="H9:H13">
    <cfRule type="colorScale" priority="12">
      <colorScale>
        <cfvo type="min"/>
        <cfvo type="max"/>
        <color rgb="FFFCFCFF"/>
        <color rgb="FF7DBDB8"/>
      </colorScale>
    </cfRule>
  </conditionalFormatting>
  <conditionalFormatting sqref="I9:J13">
    <cfRule type="colorScale" priority="13">
      <colorScale>
        <cfvo type="min"/>
        <cfvo type="max"/>
        <color rgb="FFFCFCFF"/>
        <color rgb="FFE1BE6A"/>
      </colorScale>
    </cfRule>
  </conditionalFormatting>
  <hyperlinks>
    <hyperlink ref="D2" location="TOC" display="Table of Contents" xr:uid="{4D7C5735-47D7-4DFA-A70D-CC4EA5316CFB}"/>
  </hyperlinks>
  <pageMargins left="0.7" right="0.7" top="0.75" bottom="0.75" header="0.3" footer="0.3"/>
  <pageSetup orientation="portrait" horizontalDpi="4294967294" verticalDpi="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B7D51-00FF-4A37-A9D8-7B370E2733BA}">
  <sheetPr codeName="Sheet4">
    <tabColor theme="7" tint="0.39997558519241921"/>
  </sheetPr>
  <dimension ref="D2:U1018"/>
  <sheetViews>
    <sheetView showGridLines="0" workbookViewId="0">
      <selection activeCell="L3" sqref="L3:L4"/>
    </sheetView>
  </sheetViews>
  <sheetFormatPr defaultRowHeight="15" x14ac:dyDescent="0.25"/>
  <cols>
    <col min="1" max="3" width="2.7109375" style="11" customWidth="1"/>
    <col min="4" max="4" width="14.28515625" style="11" customWidth="1"/>
    <col min="5" max="5" width="13.7109375" style="11" customWidth="1"/>
    <col min="6" max="6" width="12.85546875" style="11" customWidth="1"/>
    <col min="7" max="7" width="13.42578125" style="11" customWidth="1"/>
    <col min="8" max="8" width="17.42578125" style="11" customWidth="1"/>
    <col min="9" max="11" width="2" style="11" customWidth="1"/>
    <col min="12" max="12" width="9.140625" style="11"/>
    <col min="13" max="13" width="10" style="11" customWidth="1"/>
    <col min="14" max="14" width="9.140625" style="11" customWidth="1"/>
    <col min="15" max="15" width="13.85546875" style="11" customWidth="1"/>
    <col min="16" max="16" width="10.7109375" style="11" customWidth="1"/>
    <col min="17" max="18" width="2.140625" style="11" customWidth="1"/>
    <col min="19" max="20" width="9.28515625" style="11" customWidth="1"/>
    <col min="21" max="21" width="13.85546875" style="11" customWidth="1"/>
    <col min="22" max="16384" width="9.140625" style="11"/>
  </cols>
  <sheetData>
    <row r="2" spans="4:19" x14ac:dyDescent="0.25">
      <c r="D2" s="54" t="s">
        <v>64</v>
      </c>
    </row>
    <row r="4" spans="4:19" ht="18.75" x14ac:dyDescent="0.3">
      <c r="D4" s="64" t="str">
        <f ca="1">MID(CELL("filename",A1),FIND("]",CELL("filename",A1))+1,255)</f>
        <v>CURE</v>
      </c>
    </row>
    <row r="6" spans="4:19" x14ac:dyDescent="0.25">
      <c r="D6" s="40" t="s">
        <v>21</v>
      </c>
      <c r="E6" s="40"/>
      <c r="F6" s="40"/>
      <c r="G6" s="40"/>
      <c r="H6" s="40"/>
      <c r="L6" s="40" t="s">
        <v>25</v>
      </c>
      <c r="M6" s="43"/>
      <c r="N6" s="40" t="s">
        <v>12</v>
      </c>
      <c r="O6" s="40" t="s">
        <v>13</v>
      </c>
    </row>
    <row r="7" spans="4:19" x14ac:dyDescent="0.25">
      <c r="D7" s="11" t="s">
        <v>24</v>
      </c>
      <c r="H7" s="80">
        <f>Assumptions!F19</f>
        <v>12</v>
      </c>
      <c r="L7" s="11" t="s">
        <v>14</v>
      </c>
      <c r="N7" s="4">
        <f>AVERAGE(T19:T1018)</f>
        <v>183.20608261830307</v>
      </c>
      <c r="O7" s="7">
        <f>AVERAGE(U19:U1018)</f>
        <v>0.47248097265956551</v>
      </c>
    </row>
    <row r="8" spans="4:19" x14ac:dyDescent="0.25">
      <c r="D8" s="11" t="s">
        <v>15</v>
      </c>
      <c r="H8" s="48">
        <f>MAX(S19:S2018)</f>
        <v>1000</v>
      </c>
      <c r="L8" s="11" t="s">
        <v>30</v>
      </c>
      <c r="N8" s="4">
        <f>MIN($T$19:$T$1018)</f>
        <v>41.454280615627724</v>
      </c>
      <c r="O8" s="7">
        <f>MIN($U$19:$U$1018)</f>
        <v>-0.66681979894206944</v>
      </c>
    </row>
    <row r="9" spans="4:19" x14ac:dyDescent="0.25">
      <c r="D9" s="41" t="s">
        <v>16</v>
      </c>
      <c r="G9" s="45">
        <v>44578</v>
      </c>
      <c r="H9" s="38">
        <v>124.42</v>
      </c>
      <c r="L9" s="11" t="s">
        <v>31</v>
      </c>
      <c r="N9" s="4">
        <f>MAX($T$19:$T$1018)</f>
        <v>643.06368494144851</v>
      </c>
      <c r="O9" s="7">
        <f>MAX($U$19:$U$1018)</f>
        <v>4.1684912790664566</v>
      </c>
    </row>
    <row r="10" spans="4:19" x14ac:dyDescent="0.25">
      <c r="D10" s="11" t="s">
        <v>19</v>
      </c>
      <c r="H10" s="46">
        <v>0</v>
      </c>
      <c r="L10" s="11" t="s">
        <v>27</v>
      </c>
      <c r="N10" s="4">
        <f>_xlfn.STDEV.S(T19:T1018)</f>
        <v>85.102064266972093</v>
      </c>
      <c r="O10" s="7">
        <f>_xlfn.STDEV.S(U19:U1018)</f>
        <v>0.68399022879739446</v>
      </c>
    </row>
    <row r="12" spans="4:19" x14ac:dyDescent="0.25">
      <c r="D12" s="11" t="s">
        <v>22</v>
      </c>
      <c r="H12" s="4">
        <f>IF(H10&gt;0,H9*(1-H10),H9)</f>
        <v>124.42</v>
      </c>
      <c r="L12" s="11" t="s">
        <v>28</v>
      </c>
      <c r="O12" s="49">
        <f>COUNTIF($U$19:$U$1018,"&gt;0")/$H$8</f>
        <v>0.73799999999999999</v>
      </c>
    </row>
    <row r="13" spans="4:19" x14ac:dyDescent="0.25">
      <c r="D13" s="11" t="s">
        <v>23</v>
      </c>
      <c r="H13" s="4">
        <f ca="1">P29</f>
        <v>244.10167092195181</v>
      </c>
      <c r="L13" s="11" t="s">
        <v>29</v>
      </c>
      <c r="O13" s="49">
        <f>COUNTIF($U$19:$U$1018,"&lt;0")/$H$8</f>
        <v>0.26200000000000001</v>
      </c>
    </row>
    <row r="14" spans="4:19" x14ac:dyDescent="0.25">
      <c r="D14" s="41" t="s">
        <v>36</v>
      </c>
      <c r="H14" s="4">
        <f ca="1">IF(H10&lt;0,H13+(H10*H9),H13)</f>
        <v>244.10167092195181</v>
      </c>
    </row>
    <row r="16" spans="4:19" x14ac:dyDescent="0.25">
      <c r="L16" s="20" t="s">
        <v>20</v>
      </c>
      <c r="S16" s="20" t="s">
        <v>35</v>
      </c>
    </row>
    <row r="17" spans="4:21" x14ac:dyDescent="0.25">
      <c r="D17" s="47" t="s">
        <v>0</v>
      </c>
      <c r="E17" s="47" t="s">
        <v>10</v>
      </c>
      <c r="F17" s="47" t="s">
        <v>1</v>
      </c>
      <c r="G17" s="47" t="s">
        <v>2</v>
      </c>
      <c r="H17" s="47" t="s">
        <v>3</v>
      </c>
      <c r="L17" s="51" t="s">
        <v>9</v>
      </c>
      <c r="M17" s="52" t="s">
        <v>17</v>
      </c>
      <c r="N17" s="52" t="s">
        <v>10</v>
      </c>
      <c r="O17" s="52" t="s">
        <v>11</v>
      </c>
      <c r="P17" s="52" t="s">
        <v>18</v>
      </c>
      <c r="R17" s="32"/>
      <c r="S17" s="52" t="s">
        <v>26</v>
      </c>
      <c r="T17" s="52" t="s">
        <v>12</v>
      </c>
      <c r="U17" s="52" t="s">
        <v>13</v>
      </c>
    </row>
    <row r="18" spans="4:21" x14ac:dyDescent="0.25">
      <c r="D18" s="47" t="s">
        <v>4</v>
      </c>
      <c r="E18" s="47">
        <v>1</v>
      </c>
      <c r="F18" s="25">
        <v>44562</v>
      </c>
      <c r="G18" s="23">
        <v>132.27000000000001</v>
      </c>
      <c r="H18" s="34">
        <v>-8.7502362821809343E-2</v>
      </c>
      <c r="L18" s="11">
        <v>1</v>
      </c>
      <c r="M18" s="50">
        <f>H12</f>
        <v>124.42</v>
      </c>
      <c r="N18" s="1">
        <f ca="1">RANDBETWEEN(1,MAX(CURE[Scenario]))</f>
        <v>8</v>
      </c>
      <c r="O18" s="7">
        <f ca="1">INDEX(CURE[Monthly Return],MATCH(N18,CURE[Scenario],0))</f>
        <v>6.496274908209454E-2</v>
      </c>
      <c r="P18" s="4">
        <f ca="1">(1+O18)*M18</f>
        <v>132.50266524079422</v>
      </c>
      <c r="S18" s="32"/>
      <c r="T18" s="6">
        <f ca="1">H14</f>
        <v>244.10167092195181</v>
      </c>
      <c r="U18" s="53">
        <f ca="1">H14/H12-1</f>
        <v>0.9619166606811751</v>
      </c>
    </row>
    <row r="19" spans="4:21" x14ac:dyDescent="0.25">
      <c r="D19" s="47" t="s">
        <v>4</v>
      </c>
      <c r="E19" s="47">
        <v>2</v>
      </c>
      <c r="F19" s="25">
        <v>44531</v>
      </c>
      <c r="G19" s="23">
        <v>144.9538</v>
      </c>
      <c r="H19" s="34">
        <v>0.28616997583891668</v>
      </c>
      <c r="L19" s="11">
        <v>2</v>
      </c>
      <c r="M19" s="4">
        <f ca="1">P18</f>
        <v>132.50266524079422</v>
      </c>
      <c r="N19" s="1">
        <f ca="1">RANDBETWEEN(1,MAX(CURE[Scenario]))</f>
        <v>41</v>
      </c>
      <c r="O19" s="7">
        <f ca="1">INDEX(CURE[Monthly Return],MATCH(N19,CURE[Scenario],0))</f>
        <v>8.3780299165828742E-2</v>
      </c>
      <c r="P19" s="4">
        <f ca="1">(1+O19)*M19</f>
        <v>143.60377817493762</v>
      </c>
      <c r="S19" s="11">
        <v>1</v>
      </c>
      <c r="T19" s="4">
        <f t="dataTable" ref="T19:U1018" dt2D="0" dtr="0" r1="R17" ca="1"/>
        <v>140.52475778560145</v>
      </c>
      <c r="U19" s="7">
        <v>0.12943865765633711</v>
      </c>
    </row>
    <row r="20" spans="4:21" x14ac:dyDescent="0.25">
      <c r="D20" s="47" t="s">
        <v>4</v>
      </c>
      <c r="E20" s="47">
        <v>3</v>
      </c>
      <c r="F20" s="25">
        <v>44501</v>
      </c>
      <c r="G20" s="23">
        <v>112.70189999999999</v>
      </c>
      <c r="H20" s="34">
        <v>-9.1253685924184258E-2</v>
      </c>
      <c r="L20" s="11">
        <v>3</v>
      </c>
      <c r="M20" s="4">
        <f t="shared" ref="M20:M29" ca="1" si="0">P19</f>
        <v>143.60377817493762</v>
      </c>
      <c r="N20" s="1">
        <f ca="1">RANDBETWEEN(1,MAX(CURE[Scenario]))</f>
        <v>55</v>
      </c>
      <c r="O20" s="7">
        <f ca="1">INDEX(CURE[Monthly Return],MATCH(N20,CURE[Scenario],0))</f>
        <v>1.7982869734739948E-2</v>
      </c>
      <c r="P20" s="4">
        <f t="shared" ref="P20:P29" ca="1" si="1">(1+O20)*M20</f>
        <v>146.18618621127402</v>
      </c>
      <c r="S20" s="11">
        <v>2</v>
      </c>
      <c r="T20" s="4">
        <v>75.944312037171301</v>
      </c>
      <c r="U20" s="7">
        <v>-0.38961330945851713</v>
      </c>
    </row>
    <row r="21" spans="4:21" x14ac:dyDescent="0.25">
      <c r="D21" s="47" t="s">
        <v>4</v>
      </c>
      <c r="E21" s="47">
        <v>4</v>
      </c>
      <c r="F21" s="25">
        <v>44470</v>
      </c>
      <c r="G21" s="23">
        <v>124.01909999999999</v>
      </c>
      <c r="H21" s="34">
        <v>0.15470581882104062</v>
      </c>
      <c r="L21" s="11">
        <v>4</v>
      </c>
      <c r="M21" s="4">
        <f t="shared" ca="1" si="0"/>
        <v>146.18618621127402</v>
      </c>
      <c r="N21" s="1">
        <f ca="1">RANDBETWEEN(1,MAX(CURE[Scenario]))</f>
        <v>4</v>
      </c>
      <c r="O21" s="7">
        <f ca="1">INDEX(CURE[Monthly Return],MATCH(N21,CURE[Scenario],0))</f>
        <v>0.15470581882104062</v>
      </c>
      <c r="P21" s="4">
        <f t="shared" ca="1" si="1"/>
        <v>168.80203984941429</v>
      </c>
      <c r="S21" s="11">
        <v>3</v>
      </c>
      <c r="T21" s="4">
        <v>178.87634410727074</v>
      </c>
      <c r="U21" s="7">
        <v>0.43768159546110552</v>
      </c>
    </row>
    <row r="22" spans="4:21" x14ac:dyDescent="0.25">
      <c r="D22" s="47" t="s">
        <v>4</v>
      </c>
      <c r="E22" s="47">
        <v>5</v>
      </c>
      <c r="F22" s="25">
        <v>44440</v>
      </c>
      <c r="G22" s="23">
        <v>107.4032</v>
      </c>
      <c r="H22" s="34">
        <v>-0.16227380506676647</v>
      </c>
      <c r="L22" s="11">
        <v>5</v>
      </c>
      <c r="M22" s="4">
        <f t="shared" ca="1" si="0"/>
        <v>168.80203984941429</v>
      </c>
      <c r="N22" s="1">
        <f ca="1">RANDBETWEEN(1,MAX(CURE[Scenario]))</f>
        <v>42</v>
      </c>
      <c r="O22" s="7">
        <f ca="1">INDEX(CURE[Monthly Return],MATCH(N22,CURE[Scenario],0))</f>
        <v>0.12830318010538888</v>
      </c>
      <c r="P22" s="4">
        <f t="shared" ca="1" si="1"/>
        <v>190.45987837037072</v>
      </c>
      <c r="S22" s="11">
        <v>4</v>
      </c>
      <c r="T22" s="4">
        <v>125.11954027477331</v>
      </c>
      <c r="U22" s="7">
        <v>5.6224101814283944E-3</v>
      </c>
    </row>
    <row r="23" spans="4:21" x14ac:dyDescent="0.25">
      <c r="D23" s="47" t="s">
        <v>4</v>
      </c>
      <c r="E23" s="47">
        <v>6</v>
      </c>
      <c r="F23" s="25">
        <v>44409</v>
      </c>
      <c r="G23" s="23">
        <v>128.208</v>
      </c>
      <c r="H23" s="34">
        <v>6.7865177523590114E-2</v>
      </c>
      <c r="L23" s="11">
        <v>6</v>
      </c>
      <c r="M23" s="4">
        <f t="shared" ca="1" si="0"/>
        <v>190.45987837037072</v>
      </c>
      <c r="N23" s="1">
        <f ca="1">RANDBETWEEN(1,MAX(CURE[Scenario]))</f>
        <v>34</v>
      </c>
      <c r="O23" s="7">
        <f ca="1">INDEX(CURE[Monthly Return],MATCH(N23,CURE[Scenario],0))</f>
        <v>-8.7614588861344767E-2</v>
      </c>
      <c r="P23" s="4">
        <f t="shared" ca="1" si="1"/>
        <v>173.77281443236896</v>
      </c>
      <c r="S23" s="11">
        <v>5</v>
      </c>
      <c r="T23" s="4">
        <v>137.78309549656817</v>
      </c>
      <c r="U23" s="7">
        <v>0.10740311442347017</v>
      </c>
    </row>
    <row r="24" spans="4:21" x14ac:dyDescent="0.25">
      <c r="D24" s="47" t="s">
        <v>4</v>
      </c>
      <c r="E24" s="47">
        <v>7</v>
      </c>
      <c r="F24" s="25">
        <v>44378</v>
      </c>
      <c r="G24" s="23">
        <v>120.06010000000001</v>
      </c>
      <c r="H24" s="34">
        <v>0.14819837439116168</v>
      </c>
      <c r="L24" s="11">
        <v>7</v>
      </c>
      <c r="M24" s="4">
        <f t="shared" ca="1" si="0"/>
        <v>173.77281443236896</v>
      </c>
      <c r="N24" s="1">
        <f ca="1">RANDBETWEEN(1,MAX(CURE[Scenario]))</f>
        <v>11</v>
      </c>
      <c r="O24" s="7">
        <f ca="1">INDEX(CURE[Monthly Return],MATCH(N24,CURE[Scenario],0))</f>
        <v>0.12105826981369683</v>
      </c>
      <c r="P24" s="4">
        <f t="shared" ca="1" si="1"/>
        <v>194.80945068820816</v>
      </c>
      <c r="S24" s="11">
        <v>6</v>
      </c>
      <c r="T24" s="4">
        <v>346.03954475785514</v>
      </c>
      <c r="U24" s="7">
        <v>1.7812212245447285</v>
      </c>
    </row>
    <row r="25" spans="4:21" x14ac:dyDescent="0.25">
      <c r="D25" s="47" t="s">
        <v>4</v>
      </c>
      <c r="E25" s="47">
        <v>8</v>
      </c>
      <c r="F25" s="25">
        <v>44348</v>
      </c>
      <c r="G25" s="23">
        <v>104.5639</v>
      </c>
      <c r="H25" s="34">
        <v>6.496274908209454E-2</v>
      </c>
      <c r="L25" s="11">
        <v>8</v>
      </c>
      <c r="M25" s="4">
        <f t="shared" ca="1" si="0"/>
        <v>194.80945068820816</v>
      </c>
      <c r="N25" s="1">
        <f ca="1">RANDBETWEEN(1,MAX(CURE[Scenario]))</f>
        <v>57</v>
      </c>
      <c r="O25" s="7">
        <f ca="1">INDEX(CURE[Monthly Return],MATCH(N25,CURE[Scenario],0))</f>
        <v>1.9205354357505477E-2</v>
      </c>
      <c r="P25" s="4">
        <f t="shared" ca="1" si="1"/>
        <v>198.55083522086619</v>
      </c>
      <c r="S25" s="11">
        <v>7</v>
      </c>
      <c r="T25" s="4">
        <v>224.13560195478397</v>
      </c>
      <c r="U25" s="7">
        <v>0.80144351354110244</v>
      </c>
    </row>
    <row r="26" spans="4:21" x14ac:dyDescent="0.25">
      <c r="D26" s="47" t="s">
        <v>4</v>
      </c>
      <c r="E26" s="47">
        <v>9</v>
      </c>
      <c r="F26" s="25">
        <v>44317</v>
      </c>
      <c r="G26" s="23">
        <v>98.185500000000005</v>
      </c>
      <c r="H26" s="34">
        <v>5.5567381376267599E-2</v>
      </c>
      <c r="L26" s="11">
        <v>9</v>
      </c>
      <c r="M26" s="4">
        <f t="shared" ca="1" si="0"/>
        <v>198.55083522086619</v>
      </c>
      <c r="N26" s="1">
        <f ca="1">RANDBETWEEN(1,MAX(CURE[Scenario]))</f>
        <v>39</v>
      </c>
      <c r="O26" s="7">
        <f ca="1">INDEX(CURE[Monthly Return],MATCH(N26,CURE[Scenario],0))</f>
        <v>0.20516789643567646</v>
      </c>
      <c r="P26" s="4">
        <f t="shared" ca="1" si="1"/>
        <v>239.28709241867793</v>
      </c>
      <c r="S26" s="11">
        <v>8</v>
      </c>
      <c r="T26" s="4">
        <v>243.75988796919992</v>
      </c>
      <c r="U26" s="7">
        <v>0.95916965093393292</v>
      </c>
    </row>
    <row r="27" spans="4:21" x14ac:dyDescent="0.25">
      <c r="D27" s="47" t="s">
        <v>4</v>
      </c>
      <c r="E27" s="47">
        <v>10</v>
      </c>
      <c r="F27" s="25">
        <v>44287</v>
      </c>
      <c r="G27" s="23">
        <v>93.016800000000003</v>
      </c>
      <c r="H27" s="34">
        <v>0.1138509289994396</v>
      </c>
      <c r="L27" s="11">
        <v>10</v>
      </c>
      <c r="M27" s="4">
        <f t="shared" ca="1" si="0"/>
        <v>239.28709241867793</v>
      </c>
      <c r="N27" s="1">
        <f ca="1">RANDBETWEEN(1,MAX(CURE[Scenario]))</f>
        <v>49</v>
      </c>
      <c r="O27" s="7">
        <f ca="1">INDEX(CURE[Monthly Return],MATCH(N27,CURE[Scenario],0))</f>
        <v>0.20277308866361698</v>
      </c>
      <c r="P27" s="4">
        <f t="shared" ca="1" si="1"/>
        <v>287.80807522574963</v>
      </c>
      <c r="S27" s="11">
        <v>9</v>
      </c>
      <c r="T27" s="4">
        <v>168.30180808125661</v>
      </c>
      <c r="U27" s="7">
        <v>0.35269095066112044</v>
      </c>
    </row>
    <row r="28" spans="4:21" x14ac:dyDescent="0.25">
      <c r="D28" s="47" t="s">
        <v>4</v>
      </c>
      <c r="E28" s="47">
        <v>11</v>
      </c>
      <c r="F28" s="25">
        <v>44256</v>
      </c>
      <c r="G28" s="23">
        <v>83.509200000000007</v>
      </c>
      <c r="H28" s="34">
        <v>0.12105826981369683</v>
      </c>
      <c r="L28" s="11">
        <v>11</v>
      </c>
      <c r="M28" s="4">
        <f t="shared" ca="1" si="0"/>
        <v>287.80807522574963</v>
      </c>
      <c r="N28" s="1">
        <f ca="1">RANDBETWEEN(1,MAX(CURE[Scenario]))</f>
        <v>56</v>
      </c>
      <c r="O28" s="7">
        <f ca="1">INDEX(CURE[Monthly Return],MATCH(N28,CURE[Scenario],0))</f>
        <v>0.13899416220066652</v>
      </c>
      <c r="P28" s="4">
        <f t="shared" ca="1" si="1"/>
        <v>327.81171751633912</v>
      </c>
      <c r="S28" s="11">
        <v>10</v>
      </c>
      <c r="T28" s="4">
        <v>199.52211877381674</v>
      </c>
      <c r="U28" s="7">
        <v>0.60361773648783745</v>
      </c>
    </row>
    <row r="29" spans="4:21" x14ac:dyDescent="0.25">
      <c r="D29" s="47" t="s">
        <v>4</v>
      </c>
      <c r="E29" s="47">
        <v>12</v>
      </c>
      <c r="F29" s="25">
        <v>44228</v>
      </c>
      <c r="G29" s="23">
        <v>74.491399999999999</v>
      </c>
      <c r="H29" s="34">
        <v>-6.5705423673117158E-2</v>
      </c>
      <c r="L29" s="11">
        <v>12</v>
      </c>
      <c r="M29" s="4">
        <f t="shared" ca="1" si="0"/>
        <v>327.81171751633912</v>
      </c>
      <c r="N29" s="1">
        <f ca="1">RANDBETWEEN(1,MAX(CURE[Scenario]))</f>
        <v>38</v>
      </c>
      <c r="O29" s="7">
        <f ca="1">INDEX(CURE[Monthly Return],MATCH(N29,CURE[Scenario],0))</f>
        <v>-0.25536014157338638</v>
      </c>
      <c r="P29" s="4">
        <f t="shared" ca="1" si="1"/>
        <v>244.10167092195181</v>
      </c>
      <c r="S29" s="11">
        <v>11</v>
      </c>
      <c r="T29" s="4">
        <v>110.75081638559892</v>
      </c>
      <c r="U29" s="7">
        <v>-0.10986323432246481</v>
      </c>
    </row>
    <row r="30" spans="4:21" x14ac:dyDescent="0.25">
      <c r="D30" s="47" t="s">
        <v>4</v>
      </c>
      <c r="E30" s="47">
        <v>13</v>
      </c>
      <c r="F30" s="25">
        <v>44197</v>
      </c>
      <c r="G30" s="23">
        <v>79.730099999999993</v>
      </c>
      <c r="H30" s="34">
        <v>3.5529810570884779E-2</v>
      </c>
      <c r="S30" s="11">
        <v>12</v>
      </c>
      <c r="T30" s="4">
        <v>122.51579198183528</v>
      </c>
      <c r="U30" s="7">
        <v>-1.5304677850544346E-2</v>
      </c>
    </row>
    <row r="31" spans="4:21" x14ac:dyDescent="0.25">
      <c r="D31" s="47" t="s">
        <v>4</v>
      </c>
      <c r="E31" s="47">
        <v>14</v>
      </c>
      <c r="F31" s="25">
        <v>44166</v>
      </c>
      <c r="G31" s="23">
        <v>76.994500000000002</v>
      </c>
      <c r="H31" s="34">
        <v>0.10963869312695462</v>
      </c>
      <c r="S31" s="11">
        <v>13</v>
      </c>
      <c r="T31" s="4">
        <v>209.34487018623361</v>
      </c>
      <c r="U31" s="7">
        <v>0.68256606804560049</v>
      </c>
    </row>
    <row r="32" spans="4:21" x14ac:dyDescent="0.25">
      <c r="D32" s="47" t="s">
        <v>4</v>
      </c>
      <c r="E32" s="47">
        <v>15</v>
      </c>
      <c r="F32" s="25">
        <v>44136</v>
      </c>
      <c r="G32" s="23">
        <v>69.387</v>
      </c>
      <c r="H32" s="34">
        <v>0.24346119727964299</v>
      </c>
      <c r="S32" s="11">
        <v>14</v>
      </c>
      <c r="T32" s="4">
        <v>168.23959133494898</v>
      </c>
      <c r="U32" s="7">
        <v>0.3521908964390692</v>
      </c>
    </row>
    <row r="33" spans="4:21" x14ac:dyDescent="0.25">
      <c r="D33" s="47" t="s">
        <v>4</v>
      </c>
      <c r="E33" s="47">
        <v>16</v>
      </c>
      <c r="F33" s="25">
        <v>44105</v>
      </c>
      <c r="G33" s="23">
        <v>55.801499999999997</v>
      </c>
      <c r="H33" s="34">
        <v>-0.11437998743024747</v>
      </c>
      <c r="S33" s="11">
        <v>15</v>
      </c>
      <c r="T33" s="4">
        <v>110.07450775326583</v>
      </c>
      <c r="U33" s="7">
        <v>-0.11529892498580752</v>
      </c>
    </row>
    <row r="34" spans="4:21" x14ac:dyDescent="0.25">
      <c r="D34" s="47" t="s">
        <v>4</v>
      </c>
      <c r="E34" s="47">
        <v>17</v>
      </c>
      <c r="F34" s="25">
        <v>44075</v>
      </c>
      <c r="G34" s="23">
        <v>63.008400000000002</v>
      </c>
      <c r="H34" s="34">
        <v>-7.5118273666843316E-2</v>
      </c>
      <c r="S34" s="11">
        <v>16</v>
      </c>
      <c r="T34" s="4">
        <v>93.496608670157471</v>
      </c>
      <c r="U34" s="7">
        <v>-0.24854035789939344</v>
      </c>
    </row>
    <row r="35" spans="4:21" x14ac:dyDescent="0.25">
      <c r="D35" s="47" t="s">
        <v>4</v>
      </c>
      <c r="E35" s="47">
        <v>18</v>
      </c>
      <c r="F35" s="25">
        <v>44044</v>
      </c>
      <c r="G35" s="23">
        <v>68.125900000000001</v>
      </c>
      <c r="H35" s="34">
        <v>7.7288605164907986E-2</v>
      </c>
      <c r="S35" s="11">
        <v>17</v>
      </c>
      <c r="T35" s="4">
        <v>103.58302274264705</v>
      </c>
      <c r="U35" s="7">
        <v>-0.1674728922789982</v>
      </c>
    </row>
    <row r="36" spans="4:21" x14ac:dyDescent="0.25">
      <c r="D36" s="47" t="s">
        <v>4</v>
      </c>
      <c r="E36" s="47">
        <v>19</v>
      </c>
      <c r="F36" s="25">
        <v>44013</v>
      </c>
      <c r="G36" s="23">
        <v>63.238300000000002</v>
      </c>
      <c r="H36" s="34">
        <v>0.16489275477648357</v>
      </c>
      <c r="S36" s="11">
        <v>18</v>
      </c>
      <c r="T36" s="4">
        <v>154.53224708103048</v>
      </c>
      <c r="U36" s="7">
        <v>0.24202095387422018</v>
      </c>
    </row>
    <row r="37" spans="4:21" x14ac:dyDescent="0.25">
      <c r="D37" s="47" t="s">
        <v>4</v>
      </c>
      <c r="E37" s="47">
        <v>20</v>
      </c>
      <c r="F37" s="25">
        <v>43983</v>
      </c>
      <c r="G37" s="23">
        <v>54.286799999999999</v>
      </c>
      <c r="H37" s="34">
        <v>-9.16228263925144E-2</v>
      </c>
      <c r="S37" s="11">
        <v>19</v>
      </c>
      <c r="T37" s="4">
        <v>302.06222444346787</v>
      </c>
      <c r="U37" s="7">
        <v>1.4277626140770603</v>
      </c>
    </row>
    <row r="38" spans="4:21" x14ac:dyDescent="0.25">
      <c r="D38" s="47" t="s">
        <v>4</v>
      </c>
      <c r="E38" s="47">
        <v>21</v>
      </c>
      <c r="F38" s="25">
        <v>43952</v>
      </c>
      <c r="G38" s="23">
        <v>59.7624</v>
      </c>
      <c r="H38" s="34">
        <v>9.0825460333221475E-2</v>
      </c>
      <c r="S38" s="11">
        <v>20</v>
      </c>
      <c r="T38" s="4">
        <v>142.1562392789686</v>
      </c>
      <c r="U38" s="7">
        <v>0.14255135250738293</v>
      </c>
    </row>
    <row r="39" spans="4:21" x14ac:dyDescent="0.25">
      <c r="D39" s="47" t="s">
        <v>4</v>
      </c>
      <c r="E39" s="47">
        <v>22</v>
      </c>
      <c r="F39" s="25">
        <v>43922</v>
      </c>
      <c r="G39" s="23">
        <v>54.7864</v>
      </c>
      <c r="H39" s="34">
        <v>0.38152731967601716</v>
      </c>
      <c r="S39" s="11">
        <v>21</v>
      </c>
      <c r="T39" s="4">
        <v>50.108575770737943</v>
      </c>
      <c r="U39" s="7">
        <v>-0.59726269272835597</v>
      </c>
    </row>
    <row r="40" spans="4:21" x14ac:dyDescent="0.25">
      <c r="D40" s="47" t="s">
        <v>4</v>
      </c>
      <c r="E40" s="47">
        <v>23</v>
      </c>
      <c r="F40" s="25">
        <v>43891</v>
      </c>
      <c r="G40" s="23">
        <v>39.656399999999998</v>
      </c>
      <c r="H40" s="34">
        <v>-0.26011832464835649</v>
      </c>
      <c r="S40" s="11">
        <v>22</v>
      </c>
      <c r="T40" s="4">
        <v>178.75323115211768</v>
      </c>
      <c r="U40" s="7">
        <v>0.43669210056355623</v>
      </c>
    </row>
    <row r="41" spans="4:21" x14ac:dyDescent="0.25">
      <c r="D41" s="47" t="s">
        <v>4</v>
      </c>
      <c r="E41" s="47">
        <v>24</v>
      </c>
      <c r="F41" s="25">
        <v>43862</v>
      </c>
      <c r="G41" s="23">
        <v>53.598300000000002</v>
      </c>
      <c r="H41" s="34">
        <v>-0.19982234298254786</v>
      </c>
      <c r="S41" s="11">
        <v>23</v>
      </c>
      <c r="T41" s="4">
        <v>268.21296660453544</v>
      </c>
      <c r="U41" s="7">
        <v>1.1557062096490549</v>
      </c>
    </row>
    <row r="42" spans="4:21" x14ac:dyDescent="0.25">
      <c r="D42" s="47" t="s">
        <v>4</v>
      </c>
      <c r="E42" s="47">
        <v>25</v>
      </c>
      <c r="F42" s="25">
        <v>43831</v>
      </c>
      <c r="G42" s="23">
        <v>66.983000000000004</v>
      </c>
      <c r="H42" s="34">
        <v>-8.6454270205395312E-2</v>
      </c>
      <c r="S42" s="11">
        <v>24</v>
      </c>
      <c r="T42" s="4">
        <v>120.76458688176358</v>
      </c>
      <c r="U42" s="7">
        <v>-2.9379626412445181E-2</v>
      </c>
    </row>
    <row r="43" spans="4:21" x14ac:dyDescent="0.25">
      <c r="D43" s="47" t="s">
        <v>4</v>
      </c>
      <c r="E43" s="47">
        <v>26</v>
      </c>
      <c r="F43" s="25">
        <v>43800</v>
      </c>
      <c r="G43" s="23">
        <v>73.322000000000003</v>
      </c>
      <c r="H43" s="34">
        <v>9.7572293791670539E-2</v>
      </c>
      <c r="S43" s="11">
        <v>25</v>
      </c>
      <c r="T43" s="4">
        <v>226.62826818042279</v>
      </c>
      <c r="U43" s="7">
        <v>0.82147780244673507</v>
      </c>
    </row>
    <row r="44" spans="4:21" x14ac:dyDescent="0.25">
      <c r="D44" s="47" t="s">
        <v>4</v>
      </c>
      <c r="E44" s="47">
        <v>27</v>
      </c>
      <c r="F44" s="25">
        <v>43770</v>
      </c>
      <c r="G44" s="23">
        <v>66.803799999999995</v>
      </c>
      <c r="H44" s="34">
        <v>0.15482405493054152</v>
      </c>
      <c r="S44" s="11">
        <v>26</v>
      </c>
      <c r="T44" s="4">
        <v>103.99594386051221</v>
      </c>
      <c r="U44" s="7">
        <v>-0.16415412425243359</v>
      </c>
    </row>
    <row r="45" spans="4:21" x14ac:dyDescent="0.25">
      <c r="D45" s="47" t="s">
        <v>4</v>
      </c>
      <c r="E45" s="47">
        <v>28</v>
      </c>
      <c r="F45" s="25">
        <v>43739</v>
      </c>
      <c r="G45" s="23">
        <v>57.8476</v>
      </c>
      <c r="H45" s="34">
        <v>0.15343402622002889</v>
      </c>
      <c r="S45" s="11">
        <v>27</v>
      </c>
      <c r="T45" s="4">
        <v>139.15045307761764</v>
      </c>
      <c r="U45" s="7">
        <v>0.11839296799242605</v>
      </c>
    </row>
    <row r="46" spans="4:21" x14ac:dyDescent="0.25">
      <c r="D46" s="47" t="s">
        <v>4</v>
      </c>
      <c r="E46" s="47">
        <v>29</v>
      </c>
      <c r="F46" s="25">
        <v>43709</v>
      </c>
      <c r="G46" s="23">
        <v>50.152500000000003</v>
      </c>
      <c r="H46" s="34">
        <v>-1.4222788303348666E-2</v>
      </c>
      <c r="S46" s="11">
        <v>28</v>
      </c>
      <c r="T46" s="4">
        <v>309.5119214900912</v>
      </c>
      <c r="U46" s="7">
        <v>1.4876380122977912</v>
      </c>
    </row>
    <row r="47" spans="4:21" x14ac:dyDescent="0.25">
      <c r="D47" s="47" t="s">
        <v>4</v>
      </c>
      <c r="E47" s="47">
        <v>30</v>
      </c>
      <c r="F47" s="25">
        <v>43678</v>
      </c>
      <c r="G47" s="23">
        <v>50.876100000000001</v>
      </c>
      <c r="H47" s="34">
        <v>-3.2975993613502785E-2</v>
      </c>
      <c r="S47" s="11">
        <v>29</v>
      </c>
      <c r="T47" s="4">
        <v>148.40772766823983</v>
      </c>
      <c r="U47" s="7">
        <v>0.19279639662626447</v>
      </c>
    </row>
    <row r="48" spans="4:21" x14ac:dyDescent="0.25">
      <c r="D48" s="47" t="s">
        <v>4</v>
      </c>
      <c r="E48" s="47">
        <v>31</v>
      </c>
      <c r="F48" s="25">
        <v>43647</v>
      </c>
      <c r="G48" s="23">
        <v>52.610999999999997</v>
      </c>
      <c r="H48" s="34">
        <v>-5.4179168606752093E-2</v>
      </c>
      <c r="S48" s="11">
        <v>30</v>
      </c>
      <c r="T48" s="4">
        <v>113.93467618207356</v>
      </c>
      <c r="U48" s="7">
        <v>-8.4273620140865146E-2</v>
      </c>
    </row>
    <row r="49" spans="4:21" x14ac:dyDescent="0.25">
      <c r="D49" s="47" t="s">
        <v>4</v>
      </c>
      <c r="E49" s="47">
        <v>32</v>
      </c>
      <c r="F49" s="25">
        <v>43617</v>
      </c>
      <c r="G49" s="23">
        <v>55.624699999999997</v>
      </c>
      <c r="H49" s="34">
        <v>0.19995642381934431</v>
      </c>
      <c r="S49" s="11">
        <v>31</v>
      </c>
      <c r="T49" s="4">
        <v>126.57594498354345</v>
      </c>
      <c r="U49" s="7">
        <v>1.73279616102191E-2</v>
      </c>
    </row>
    <row r="50" spans="4:21" x14ac:dyDescent="0.25">
      <c r="D50" s="47" t="s">
        <v>4</v>
      </c>
      <c r="E50" s="47">
        <v>33</v>
      </c>
      <c r="F50" s="25">
        <v>43586</v>
      </c>
      <c r="G50" s="23">
        <v>46.355600000000003</v>
      </c>
      <c r="H50" s="34">
        <v>-7.6618461415879802E-2</v>
      </c>
      <c r="S50" s="11">
        <v>32</v>
      </c>
      <c r="T50" s="4">
        <v>122.3813875754872</v>
      </c>
      <c r="U50" s="7">
        <v>-1.6384925450191323E-2</v>
      </c>
    </row>
    <row r="51" spans="4:21" x14ac:dyDescent="0.25">
      <c r="D51" s="47" t="s">
        <v>4</v>
      </c>
      <c r="E51" s="47">
        <v>34</v>
      </c>
      <c r="F51" s="25">
        <v>43556</v>
      </c>
      <c r="G51" s="23">
        <v>50.201999999999998</v>
      </c>
      <c r="H51" s="34">
        <v>-8.7614588861344767E-2</v>
      </c>
      <c r="S51" s="11">
        <v>33</v>
      </c>
      <c r="T51" s="4">
        <v>224.41563498437785</v>
      </c>
      <c r="U51" s="7">
        <v>0.80369422106074451</v>
      </c>
    </row>
    <row r="52" spans="4:21" x14ac:dyDescent="0.25">
      <c r="D52" s="47" t="s">
        <v>4</v>
      </c>
      <c r="E52" s="47">
        <v>35</v>
      </c>
      <c r="F52" s="25">
        <v>43525</v>
      </c>
      <c r="G52" s="23">
        <v>55.022799999999997</v>
      </c>
      <c r="H52" s="34">
        <v>1.9831044598908054E-3</v>
      </c>
      <c r="S52" s="11">
        <v>34</v>
      </c>
      <c r="T52" s="4">
        <v>280.27062761880114</v>
      </c>
      <c r="U52" s="7">
        <v>1.2526171645941258</v>
      </c>
    </row>
    <row r="53" spans="4:21" x14ac:dyDescent="0.25">
      <c r="D53" s="47" t="s">
        <v>4</v>
      </c>
      <c r="E53" s="47">
        <v>36</v>
      </c>
      <c r="F53" s="25">
        <v>43497</v>
      </c>
      <c r="G53" s="23">
        <v>54.913899999999998</v>
      </c>
      <c r="H53" s="34">
        <v>2.5128902064299741E-2</v>
      </c>
      <c r="S53" s="11">
        <v>35</v>
      </c>
      <c r="T53" s="4">
        <v>252.82940593961877</v>
      </c>
      <c r="U53" s="7">
        <v>1.0320640245910524</v>
      </c>
    </row>
    <row r="54" spans="4:21" x14ac:dyDescent="0.25">
      <c r="D54" s="47" t="s">
        <v>4</v>
      </c>
      <c r="E54" s="47">
        <v>37</v>
      </c>
      <c r="F54" s="25">
        <v>43466</v>
      </c>
      <c r="G54" s="23">
        <v>53.567799999999998</v>
      </c>
      <c r="H54" s="34">
        <v>0.14073553525415772</v>
      </c>
      <c r="S54" s="11">
        <v>36</v>
      </c>
      <c r="T54" s="4">
        <v>189.82739709911951</v>
      </c>
      <c r="U54" s="7">
        <v>0.52569841744992374</v>
      </c>
    </row>
    <row r="55" spans="4:21" x14ac:dyDescent="0.25">
      <c r="D55" s="47" t="s">
        <v>4</v>
      </c>
      <c r="E55" s="47">
        <v>38</v>
      </c>
      <c r="F55" s="25">
        <v>43435</v>
      </c>
      <c r="G55" s="23">
        <v>46.959000000000003</v>
      </c>
      <c r="H55" s="34">
        <v>-0.25536014157338638</v>
      </c>
      <c r="S55" s="11">
        <v>37</v>
      </c>
      <c r="T55" s="4">
        <v>302.60602523899416</v>
      </c>
      <c r="U55" s="7">
        <v>1.4321333004259298</v>
      </c>
    </row>
    <row r="56" spans="4:21" x14ac:dyDescent="0.25">
      <c r="D56" s="47" t="s">
        <v>4</v>
      </c>
      <c r="E56" s="47">
        <v>39</v>
      </c>
      <c r="F56" s="25">
        <v>43405</v>
      </c>
      <c r="G56" s="23">
        <v>63.0627</v>
      </c>
      <c r="H56" s="34">
        <v>0.20516789643567646</v>
      </c>
      <c r="S56" s="11">
        <v>38</v>
      </c>
      <c r="T56" s="4">
        <v>343.87818918776139</v>
      </c>
      <c r="U56" s="7">
        <v>1.7638497764648884</v>
      </c>
    </row>
    <row r="57" spans="4:21" x14ac:dyDescent="0.25">
      <c r="D57" s="47" t="s">
        <v>4</v>
      </c>
      <c r="E57" s="47">
        <v>40</v>
      </c>
      <c r="F57" s="25">
        <v>43374</v>
      </c>
      <c r="G57" s="23">
        <v>52.326900000000002</v>
      </c>
      <c r="H57" s="34">
        <v>-0.2029425697752173</v>
      </c>
      <c r="S57" s="11">
        <v>39</v>
      </c>
      <c r="T57" s="4">
        <v>105.96750169504428</v>
      </c>
      <c r="U57" s="7">
        <v>-0.14830813619157468</v>
      </c>
    </row>
    <row r="58" spans="4:21" x14ac:dyDescent="0.25">
      <c r="D58" s="47" t="s">
        <v>4</v>
      </c>
      <c r="E58" s="47">
        <v>41</v>
      </c>
      <c r="F58" s="25">
        <v>43344</v>
      </c>
      <c r="G58" s="23">
        <v>65.650099999999995</v>
      </c>
      <c r="H58" s="34">
        <v>8.3780299165828742E-2</v>
      </c>
      <c r="S58" s="11">
        <v>40</v>
      </c>
      <c r="T58" s="4">
        <v>145.85625317281139</v>
      </c>
      <c r="U58" s="7">
        <v>0.17228944842317473</v>
      </c>
    </row>
    <row r="59" spans="4:21" x14ac:dyDescent="0.25">
      <c r="D59" s="47" t="s">
        <v>4</v>
      </c>
      <c r="E59" s="47">
        <v>42</v>
      </c>
      <c r="F59" s="25">
        <v>43313</v>
      </c>
      <c r="G59" s="23">
        <v>60.575099999999999</v>
      </c>
      <c r="H59" s="34">
        <v>0.12830318010538888</v>
      </c>
      <c r="S59" s="11">
        <v>41</v>
      </c>
      <c r="T59" s="4">
        <v>157.41583679764375</v>
      </c>
      <c r="U59" s="7">
        <v>0.26519720943291869</v>
      </c>
    </row>
    <row r="60" spans="4:21" x14ac:dyDescent="0.25">
      <c r="D60" s="47" t="s">
        <v>4</v>
      </c>
      <c r="E60" s="47">
        <v>43</v>
      </c>
      <c r="F60" s="25">
        <v>43282</v>
      </c>
      <c r="G60" s="23">
        <v>53.686900000000001</v>
      </c>
      <c r="H60" s="34">
        <v>0.20362610779678181</v>
      </c>
      <c r="S60" s="11">
        <v>42</v>
      </c>
      <c r="T60" s="4">
        <v>242.65059398703943</v>
      </c>
      <c r="U60" s="7">
        <v>0.95025393013212844</v>
      </c>
    </row>
    <row r="61" spans="4:21" x14ac:dyDescent="0.25">
      <c r="D61" s="47" t="s">
        <v>4</v>
      </c>
      <c r="E61" s="47">
        <v>44</v>
      </c>
      <c r="F61" s="25">
        <v>43252</v>
      </c>
      <c r="G61" s="23">
        <v>44.604300000000002</v>
      </c>
      <c r="H61" s="34">
        <v>4.0120045331803578E-2</v>
      </c>
      <c r="S61" s="11">
        <v>43</v>
      </c>
      <c r="T61" s="4">
        <v>92.984429967258578</v>
      </c>
      <c r="U61" s="7">
        <v>-0.25265688822328747</v>
      </c>
    </row>
    <row r="62" spans="4:21" x14ac:dyDescent="0.25">
      <c r="D62" s="47" t="s">
        <v>4</v>
      </c>
      <c r="E62" s="47">
        <v>45</v>
      </c>
      <c r="F62" s="25">
        <v>43221</v>
      </c>
      <c r="G62" s="23">
        <v>42.883800000000001</v>
      </c>
      <c r="H62" s="34">
        <v>-5.6991022406885916E-3</v>
      </c>
      <c r="S62" s="11">
        <v>44</v>
      </c>
      <c r="T62" s="4">
        <v>105.13726489614425</v>
      </c>
      <c r="U62" s="7">
        <v>-0.15498099263668019</v>
      </c>
    </row>
    <row r="63" spans="4:21" x14ac:dyDescent="0.25">
      <c r="D63" s="47" t="s">
        <v>4</v>
      </c>
      <c r="E63" s="47">
        <v>46</v>
      </c>
      <c r="F63" s="25">
        <v>43191</v>
      </c>
      <c r="G63" s="23">
        <v>43.129600000000003</v>
      </c>
      <c r="H63" s="34">
        <v>1.9048564151273428E-2</v>
      </c>
      <c r="S63" s="11">
        <v>45</v>
      </c>
      <c r="T63" s="4">
        <v>247.71175073214718</v>
      </c>
      <c r="U63" s="7">
        <v>0.99093193001243507</v>
      </c>
    </row>
    <row r="64" spans="4:21" x14ac:dyDescent="0.25">
      <c r="D64" s="47" t="s">
        <v>4</v>
      </c>
      <c r="E64" s="47">
        <v>47</v>
      </c>
      <c r="F64" s="25">
        <v>43160</v>
      </c>
      <c r="G64" s="23">
        <v>42.323399999999999</v>
      </c>
      <c r="H64" s="34">
        <v>-9.8241584512818947E-2</v>
      </c>
      <c r="S64" s="11">
        <v>46</v>
      </c>
      <c r="T64" s="4">
        <v>234.35797430141656</v>
      </c>
      <c r="U64" s="7">
        <v>0.88360371565195761</v>
      </c>
    </row>
    <row r="65" spans="4:21" x14ac:dyDescent="0.25">
      <c r="D65" s="47" t="s">
        <v>4</v>
      </c>
      <c r="E65" s="47">
        <v>48</v>
      </c>
      <c r="F65" s="25">
        <v>43132</v>
      </c>
      <c r="G65" s="23">
        <v>46.9343</v>
      </c>
      <c r="H65" s="34">
        <v>-0.1467375199297527</v>
      </c>
      <c r="S65" s="11">
        <v>47</v>
      </c>
      <c r="T65" s="4">
        <v>90.024367121229474</v>
      </c>
      <c r="U65" s="7">
        <v>-0.27644778073276421</v>
      </c>
    </row>
    <row r="66" spans="4:21" x14ac:dyDescent="0.25">
      <c r="D66" s="47" t="s">
        <v>4</v>
      </c>
      <c r="E66" s="47">
        <v>49</v>
      </c>
      <c r="F66" s="25">
        <v>43101</v>
      </c>
      <c r="G66" s="23">
        <v>55.005699999999997</v>
      </c>
      <c r="H66" s="34">
        <v>0.20277308866361698</v>
      </c>
      <c r="S66" s="11">
        <v>48</v>
      </c>
      <c r="T66" s="4">
        <v>167.02511712705771</v>
      </c>
      <c r="U66" s="7">
        <v>0.34242981134108441</v>
      </c>
    </row>
    <row r="67" spans="4:21" x14ac:dyDescent="0.25">
      <c r="D67" s="47" t="s">
        <v>4</v>
      </c>
      <c r="E67" s="47">
        <v>50</v>
      </c>
      <c r="F67" s="25">
        <v>43070</v>
      </c>
      <c r="G67" s="23">
        <v>45.732399999999998</v>
      </c>
      <c r="H67" s="34">
        <v>-2.6122732335159715E-2</v>
      </c>
      <c r="S67" s="11">
        <v>49</v>
      </c>
      <c r="T67" s="4">
        <v>218.35582240976555</v>
      </c>
      <c r="U67" s="7">
        <v>0.75498973163290106</v>
      </c>
    </row>
    <row r="68" spans="4:21" x14ac:dyDescent="0.25">
      <c r="D68" s="47" t="s">
        <v>4</v>
      </c>
      <c r="E68" s="47">
        <v>51</v>
      </c>
      <c r="F68" s="25">
        <v>43040</v>
      </c>
      <c r="G68" s="23">
        <v>46.959099999999999</v>
      </c>
      <c r="H68" s="34">
        <v>8.429542536782697E-2</v>
      </c>
      <c r="S68" s="11">
        <v>50</v>
      </c>
      <c r="T68" s="4">
        <v>144.55223201059647</v>
      </c>
      <c r="U68" s="7">
        <v>0.16180864821247765</v>
      </c>
    </row>
    <row r="69" spans="4:21" x14ac:dyDescent="0.25">
      <c r="D69" s="47" t="s">
        <v>4</v>
      </c>
      <c r="E69" s="47">
        <v>52</v>
      </c>
      <c r="F69" s="25">
        <v>43009</v>
      </c>
      <c r="G69" s="23">
        <v>43.308399999999999</v>
      </c>
      <c r="H69" s="34">
        <v>-2.989494433617812E-2</v>
      </c>
      <c r="S69" s="11">
        <v>51</v>
      </c>
      <c r="T69" s="4">
        <v>188.07283439122486</v>
      </c>
      <c r="U69" s="7">
        <v>0.51159648281003745</v>
      </c>
    </row>
    <row r="70" spans="4:21" x14ac:dyDescent="0.25">
      <c r="D70" s="47" t="s">
        <v>4</v>
      </c>
      <c r="E70" s="47">
        <v>53</v>
      </c>
      <c r="F70" s="25">
        <v>42979</v>
      </c>
      <c r="G70" s="23">
        <v>44.643000000000001</v>
      </c>
      <c r="H70" s="34">
        <v>2.431905945194357E-2</v>
      </c>
      <c r="S70" s="11">
        <v>52</v>
      </c>
      <c r="T70" s="4">
        <v>237.56883830063526</v>
      </c>
      <c r="U70" s="7">
        <v>0.90941037052431484</v>
      </c>
    </row>
    <row r="71" spans="4:21" x14ac:dyDescent="0.25">
      <c r="D71" s="47" t="s">
        <v>4</v>
      </c>
      <c r="E71" s="47">
        <v>54</v>
      </c>
      <c r="F71" s="25">
        <v>42948</v>
      </c>
      <c r="G71" s="23">
        <v>43.583100000000002</v>
      </c>
      <c r="H71" s="34">
        <v>4.5923277217149394E-2</v>
      </c>
      <c r="S71" s="11">
        <v>53</v>
      </c>
      <c r="T71" s="4">
        <v>110.03491297631234</v>
      </c>
      <c r="U71" s="7">
        <v>-0.11561715981102438</v>
      </c>
    </row>
    <row r="72" spans="4:21" x14ac:dyDescent="0.25">
      <c r="D72" s="47" t="s">
        <v>4</v>
      </c>
      <c r="E72" s="47">
        <v>55</v>
      </c>
      <c r="F72" s="25">
        <v>42917</v>
      </c>
      <c r="G72" s="23">
        <v>41.669499999999999</v>
      </c>
      <c r="H72" s="34">
        <v>1.7982869734739948E-2</v>
      </c>
      <c r="S72" s="11">
        <v>54</v>
      </c>
      <c r="T72" s="4">
        <v>89.578761782025765</v>
      </c>
      <c r="U72" s="7">
        <v>-0.28002924142400121</v>
      </c>
    </row>
    <row r="73" spans="4:21" x14ac:dyDescent="0.25">
      <c r="D73" s="47" t="s">
        <v>4</v>
      </c>
      <c r="E73" s="47">
        <v>56</v>
      </c>
      <c r="F73" s="25">
        <v>42887</v>
      </c>
      <c r="G73" s="23">
        <v>40.933399999999999</v>
      </c>
      <c r="H73" s="34">
        <v>0.13899416220066652</v>
      </c>
      <c r="S73" s="11">
        <v>55</v>
      </c>
      <c r="T73" s="4">
        <v>78.848267544468655</v>
      </c>
      <c r="U73" s="7">
        <v>-0.36627336807210531</v>
      </c>
    </row>
    <row r="74" spans="4:21" x14ac:dyDescent="0.25">
      <c r="D74" s="47" t="s">
        <v>4</v>
      </c>
      <c r="E74" s="47">
        <v>57</v>
      </c>
      <c r="F74" s="25">
        <v>42856</v>
      </c>
      <c r="G74" s="23">
        <v>35.938200000000002</v>
      </c>
      <c r="H74" s="34">
        <v>1.9205354357505477E-2</v>
      </c>
      <c r="S74" s="11">
        <v>56</v>
      </c>
      <c r="T74" s="4">
        <v>290.19778856744085</v>
      </c>
      <c r="U74" s="7">
        <v>1.3324046661906515</v>
      </c>
    </row>
    <row r="75" spans="4:21" x14ac:dyDescent="0.25">
      <c r="D75" s="47" t="s">
        <v>4</v>
      </c>
      <c r="E75" s="47">
        <v>58</v>
      </c>
      <c r="F75" s="25">
        <v>42826</v>
      </c>
      <c r="G75" s="23">
        <v>35.261000000000003</v>
      </c>
      <c r="H75" s="34">
        <v>4.2355194778320948E-2</v>
      </c>
      <c r="S75" s="11">
        <v>57</v>
      </c>
      <c r="T75" s="4">
        <v>440.56355577684468</v>
      </c>
      <c r="U75" s="7">
        <v>2.5409384003925788</v>
      </c>
    </row>
    <row r="76" spans="4:21" x14ac:dyDescent="0.25">
      <c r="D76" s="47" t="s">
        <v>4</v>
      </c>
      <c r="E76" s="47">
        <v>59</v>
      </c>
      <c r="F76" s="25">
        <v>42795</v>
      </c>
      <c r="G76" s="23">
        <v>33.828200000000002</v>
      </c>
      <c r="H76" s="34">
        <v>-1.8508041234720385E-2</v>
      </c>
      <c r="S76" s="11">
        <v>58</v>
      </c>
      <c r="T76" s="4">
        <v>168.45787810473411</v>
      </c>
      <c r="U76" s="7">
        <v>0.35394533117452265</v>
      </c>
    </row>
    <row r="77" spans="4:21" x14ac:dyDescent="0.25">
      <c r="D77" s="47" t="s">
        <v>4</v>
      </c>
      <c r="E77" s="47">
        <v>60</v>
      </c>
      <c r="F77" s="25">
        <v>42767</v>
      </c>
      <c r="G77" s="23">
        <v>34.466099999999997</v>
      </c>
      <c r="H77" s="34">
        <v>0.20027372262773713</v>
      </c>
      <c r="S77" s="11">
        <v>59</v>
      </c>
      <c r="T77" s="4">
        <v>192.91523015275533</v>
      </c>
      <c r="U77" s="7">
        <v>0.55051623655967941</v>
      </c>
    </row>
    <row r="78" spans="4:21" x14ac:dyDescent="0.25">
      <c r="S78" s="11">
        <v>60</v>
      </c>
      <c r="T78" s="4">
        <v>268.77302132605371</v>
      </c>
      <c r="U78" s="7">
        <v>1.1602075335641673</v>
      </c>
    </row>
    <row r="79" spans="4:21" x14ac:dyDescent="0.25">
      <c r="S79" s="11">
        <v>61</v>
      </c>
      <c r="T79" s="4">
        <v>155.46777209733781</v>
      </c>
      <c r="U79" s="7">
        <v>0.24954004257625639</v>
      </c>
    </row>
    <row r="80" spans="4:21" x14ac:dyDescent="0.25">
      <c r="S80" s="11">
        <v>62</v>
      </c>
      <c r="T80" s="4">
        <v>81.05976613103995</v>
      </c>
      <c r="U80" s="7">
        <v>-0.34849890587494015</v>
      </c>
    </row>
    <row r="81" spans="19:21" x14ac:dyDescent="0.25">
      <c r="S81" s="11">
        <v>63</v>
      </c>
      <c r="T81" s="4">
        <v>243.38588763393253</v>
      </c>
      <c r="U81" s="7">
        <v>0.95616370064244105</v>
      </c>
    </row>
    <row r="82" spans="19:21" x14ac:dyDescent="0.25">
      <c r="S82" s="11">
        <v>64</v>
      </c>
      <c r="T82" s="4">
        <v>53.150156536361983</v>
      </c>
      <c r="U82" s="7">
        <v>-0.57281661681110774</v>
      </c>
    </row>
    <row r="83" spans="19:21" x14ac:dyDescent="0.25">
      <c r="S83" s="11">
        <v>65</v>
      </c>
      <c r="T83" s="4">
        <v>236.99033361745444</v>
      </c>
      <c r="U83" s="7">
        <v>0.90476075886074936</v>
      </c>
    </row>
    <row r="84" spans="19:21" x14ac:dyDescent="0.25">
      <c r="S84" s="11">
        <v>66</v>
      </c>
      <c r="T84" s="4">
        <v>312.87962811312968</v>
      </c>
      <c r="U84" s="7">
        <v>1.5147052572989042</v>
      </c>
    </row>
    <row r="85" spans="19:21" x14ac:dyDescent="0.25">
      <c r="S85" s="11">
        <v>67</v>
      </c>
      <c r="T85" s="4">
        <v>481.42612581340012</v>
      </c>
      <c r="U85" s="7">
        <v>2.8693628501318127</v>
      </c>
    </row>
    <row r="86" spans="19:21" x14ac:dyDescent="0.25">
      <c r="S86" s="11">
        <v>68</v>
      </c>
      <c r="T86" s="4">
        <v>77.34167939669517</v>
      </c>
      <c r="U86" s="7">
        <v>-0.37838225850590601</v>
      </c>
    </row>
    <row r="87" spans="19:21" x14ac:dyDescent="0.25">
      <c r="S87" s="11">
        <v>69</v>
      </c>
      <c r="T87" s="4">
        <v>60.299705228159404</v>
      </c>
      <c r="U87" s="7">
        <v>-0.51535359887349785</v>
      </c>
    </row>
    <row r="88" spans="19:21" x14ac:dyDescent="0.25">
      <c r="S88" s="11">
        <v>70</v>
      </c>
      <c r="T88" s="4">
        <v>150.38865616952776</v>
      </c>
      <c r="U88" s="7">
        <v>0.20871769948181762</v>
      </c>
    </row>
    <row r="89" spans="19:21" x14ac:dyDescent="0.25">
      <c r="S89" s="11">
        <v>71</v>
      </c>
      <c r="T89" s="4">
        <v>90.987324309077849</v>
      </c>
      <c r="U89" s="7">
        <v>-0.26870821162933733</v>
      </c>
    </row>
    <row r="90" spans="19:21" x14ac:dyDescent="0.25">
      <c r="S90" s="11">
        <v>72</v>
      </c>
      <c r="T90" s="4">
        <v>117.35109579405143</v>
      </c>
      <c r="U90" s="7">
        <v>-5.6814854572806328E-2</v>
      </c>
    </row>
    <row r="91" spans="19:21" x14ac:dyDescent="0.25">
      <c r="S91" s="11">
        <v>73</v>
      </c>
      <c r="T91" s="4">
        <v>326.70719983736433</v>
      </c>
      <c r="U91" s="7">
        <v>1.6258415032741063</v>
      </c>
    </row>
    <row r="92" spans="19:21" x14ac:dyDescent="0.25">
      <c r="S92" s="11">
        <v>74</v>
      </c>
      <c r="T92" s="4">
        <v>128.7921322864122</v>
      </c>
      <c r="U92" s="7">
        <v>3.5140108394246861E-2</v>
      </c>
    </row>
    <row r="93" spans="19:21" x14ac:dyDescent="0.25">
      <c r="S93" s="11">
        <v>75</v>
      </c>
      <c r="T93" s="4">
        <v>87.305007883771765</v>
      </c>
      <c r="U93" s="7">
        <v>-0.29830406780443852</v>
      </c>
    </row>
    <row r="94" spans="19:21" x14ac:dyDescent="0.25">
      <c r="S94" s="11">
        <v>76</v>
      </c>
      <c r="T94" s="4">
        <v>182.39844152307089</v>
      </c>
      <c r="U94" s="7">
        <v>0.46598972450627629</v>
      </c>
    </row>
    <row r="95" spans="19:21" x14ac:dyDescent="0.25">
      <c r="S95" s="11">
        <v>77</v>
      </c>
      <c r="T95" s="4">
        <v>98.472039687248682</v>
      </c>
      <c r="U95" s="7">
        <v>-0.20855136081619774</v>
      </c>
    </row>
    <row r="96" spans="19:21" x14ac:dyDescent="0.25">
      <c r="S96" s="11">
        <v>78</v>
      </c>
      <c r="T96" s="4">
        <v>136.405378524593</v>
      </c>
      <c r="U96" s="7">
        <v>9.6329999393931942E-2</v>
      </c>
    </row>
    <row r="97" spans="19:21" x14ac:dyDescent="0.25">
      <c r="S97" s="11">
        <v>79</v>
      </c>
      <c r="T97" s="4">
        <v>244.02348576272053</v>
      </c>
      <c r="U97" s="7">
        <v>0.96128826364507725</v>
      </c>
    </row>
    <row r="98" spans="19:21" x14ac:dyDescent="0.25">
      <c r="S98" s="11">
        <v>80</v>
      </c>
      <c r="T98" s="4">
        <v>71.706552101609972</v>
      </c>
      <c r="U98" s="7">
        <v>-0.42367342789254159</v>
      </c>
    </row>
    <row r="99" spans="19:21" x14ac:dyDescent="0.25">
      <c r="S99" s="11">
        <v>81</v>
      </c>
      <c r="T99" s="4">
        <v>74.419638178292104</v>
      </c>
      <c r="U99" s="7">
        <v>-0.40186756005230584</v>
      </c>
    </row>
    <row r="100" spans="19:21" x14ac:dyDescent="0.25">
      <c r="S100" s="11">
        <v>82</v>
      </c>
      <c r="T100" s="4">
        <v>103.02709061047736</v>
      </c>
      <c r="U100" s="7">
        <v>-0.17194108173543354</v>
      </c>
    </row>
    <row r="101" spans="19:21" x14ac:dyDescent="0.25">
      <c r="S101" s="11">
        <v>83</v>
      </c>
      <c r="T101" s="4">
        <v>140.96503790301537</v>
      </c>
      <c r="U101" s="7">
        <v>0.13297731797954815</v>
      </c>
    </row>
    <row r="102" spans="19:21" x14ac:dyDescent="0.25">
      <c r="S102" s="11">
        <v>84</v>
      </c>
      <c r="T102" s="4">
        <v>112.61700692528771</v>
      </c>
      <c r="U102" s="7">
        <v>-9.4864114087062301E-2</v>
      </c>
    </row>
    <row r="103" spans="19:21" x14ac:dyDescent="0.25">
      <c r="S103" s="11">
        <v>85</v>
      </c>
      <c r="T103" s="4">
        <v>128.95822445357504</v>
      </c>
      <c r="U103" s="7">
        <v>3.647503981333422E-2</v>
      </c>
    </row>
    <row r="104" spans="19:21" x14ac:dyDescent="0.25">
      <c r="S104" s="11">
        <v>86</v>
      </c>
      <c r="T104" s="4">
        <v>103.99222207826715</v>
      </c>
      <c r="U104" s="7">
        <v>-0.16418403730696718</v>
      </c>
    </row>
    <row r="105" spans="19:21" x14ac:dyDescent="0.25">
      <c r="S105" s="11">
        <v>87</v>
      </c>
      <c r="T105" s="4">
        <v>267.5042395573314</v>
      </c>
      <c r="U105" s="7">
        <v>1.150009962685512</v>
      </c>
    </row>
    <row r="106" spans="19:21" x14ac:dyDescent="0.25">
      <c r="S106" s="11">
        <v>88</v>
      </c>
      <c r="T106" s="4">
        <v>168.42107581551025</v>
      </c>
      <c r="U106" s="7">
        <v>0.35364954039149854</v>
      </c>
    </row>
    <row r="107" spans="19:21" x14ac:dyDescent="0.25">
      <c r="S107" s="11">
        <v>89</v>
      </c>
      <c r="T107" s="4">
        <v>301.7695055340846</v>
      </c>
      <c r="U107" s="7">
        <v>1.4254099464240846</v>
      </c>
    </row>
    <row r="108" spans="19:21" x14ac:dyDescent="0.25">
      <c r="S108" s="11">
        <v>90</v>
      </c>
      <c r="T108" s="4">
        <v>175.11865831166276</v>
      </c>
      <c r="U108" s="7">
        <v>0.40747997357067001</v>
      </c>
    </row>
    <row r="109" spans="19:21" x14ac:dyDescent="0.25">
      <c r="S109" s="11">
        <v>91</v>
      </c>
      <c r="T109" s="4">
        <v>234.08867767729637</v>
      </c>
      <c r="U109" s="7">
        <v>0.88143929976930058</v>
      </c>
    </row>
    <row r="110" spans="19:21" x14ac:dyDescent="0.25">
      <c r="S110" s="11">
        <v>92</v>
      </c>
      <c r="T110" s="4">
        <v>137.17433006765683</v>
      </c>
      <c r="U110" s="7">
        <v>0.10251028827886843</v>
      </c>
    </row>
    <row r="111" spans="19:21" x14ac:dyDescent="0.25">
      <c r="S111" s="11">
        <v>93</v>
      </c>
      <c r="T111" s="4">
        <v>258.54159334232418</v>
      </c>
      <c r="U111" s="7">
        <v>1.0779745486443031</v>
      </c>
    </row>
    <row r="112" spans="19:21" x14ac:dyDescent="0.25">
      <c r="S112" s="11">
        <v>94</v>
      </c>
      <c r="T112" s="4">
        <v>95.767783075959159</v>
      </c>
      <c r="U112" s="7">
        <v>-0.23028626365568916</v>
      </c>
    </row>
    <row r="113" spans="19:21" x14ac:dyDescent="0.25">
      <c r="S113" s="11">
        <v>95</v>
      </c>
      <c r="T113" s="4">
        <v>201.62000882810196</v>
      </c>
      <c r="U113" s="7">
        <v>0.62047909361920883</v>
      </c>
    </row>
    <row r="114" spans="19:21" x14ac:dyDescent="0.25">
      <c r="S114" s="11">
        <v>96</v>
      </c>
      <c r="T114" s="4">
        <v>97.994540236552979</v>
      </c>
      <c r="U114" s="7">
        <v>-0.21238916382773687</v>
      </c>
    </row>
    <row r="115" spans="19:21" x14ac:dyDescent="0.25">
      <c r="S115" s="11">
        <v>97</v>
      </c>
      <c r="T115" s="4">
        <v>131.64379930749726</v>
      </c>
      <c r="U115" s="7">
        <v>5.805979189436794E-2</v>
      </c>
    </row>
    <row r="116" spans="19:21" x14ac:dyDescent="0.25">
      <c r="S116" s="11">
        <v>98</v>
      </c>
      <c r="T116" s="4">
        <v>244.4879939607161</v>
      </c>
      <c r="U116" s="7">
        <v>0.96502165215171276</v>
      </c>
    </row>
    <row r="117" spans="19:21" x14ac:dyDescent="0.25">
      <c r="S117" s="11">
        <v>99</v>
      </c>
      <c r="T117" s="4">
        <v>78.317973069128243</v>
      </c>
      <c r="U117" s="7">
        <v>-0.37053550016775239</v>
      </c>
    </row>
    <row r="118" spans="19:21" x14ac:dyDescent="0.25">
      <c r="S118" s="11">
        <v>100</v>
      </c>
      <c r="T118" s="4">
        <v>91.799977844539981</v>
      </c>
      <c r="U118" s="7">
        <v>-0.26217667702507652</v>
      </c>
    </row>
    <row r="119" spans="19:21" x14ac:dyDescent="0.25">
      <c r="S119" s="11">
        <v>101</v>
      </c>
      <c r="T119" s="4">
        <v>142.63416516590729</v>
      </c>
      <c r="U119" s="7">
        <v>0.14639258291196988</v>
      </c>
    </row>
    <row r="120" spans="19:21" x14ac:dyDescent="0.25">
      <c r="S120" s="11">
        <v>102</v>
      </c>
      <c r="T120" s="4">
        <v>257.04929576846257</v>
      </c>
      <c r="U120" s="7">
        <v>1.0659805157407374</v>
      </c>
    </row>
    <row r="121" spans="19:21" x14ac:dyDescent="0.25">
      <c r="S121" s="11">
        <v>103</v>
      </c>
      <c r="T121" s="4">
        <v>162.71210557449001</v>
      </c>
      <c r="U121" s="7">
        <v>0.30776487360946803</v>
      </c>
    </row>
    <row r="122" spans="19:21" x14ac:dyDescent="0.25">
      <c r="S122" s="11">
        <v>104</v>
      </c>
      <c r="T122" s="4">
        <v>126.70770137371164</v>
      </c>
      <c r="U122" s="7">
        <v>1.8386926327854436E-2</v>
      </c>
    </row>
    <row r="123" spans="19:21" x14ac:dyDescent="0.25">
      <c r="S123" s="11">
        <v>105</v>
      </c>
      <c r="T123" s="4">
        <v>267.41606285315038</v>
      </c>
      <c r="U123" s="7">
        <v>1.1493012606747337</v>
      </c>
    </row>
    <row r="124" spans="19:21" x14ac:dyDescent="0.25">
      <c r="S124" s="11">
        <v>106</v>
      </c>
      <c r="T124" s="4">
        <v>190.09143094785878</v>
      </c>
      <c r="U124" s="7">
        <v>0.52782053486464209</v>
      </c>
    </row>
    <row r="125" spans="19:21" x14ac:dyDescent="0.25">
      <c r="S125" s="11">
        <v>107</v>
      </c>
      <c r="T125" s="4">
        <v>174.69777025598472</v>
      </c>
      <c r="U125" s="7">
        <v>0.40409717293027425</v>
      </c>
    </row>
    <row r="126" spans="19:21" x14ac:dyDescent="0.25">
      <c r="S126" s="11">
        <v>108</v>
      </c>
      <c r="T126" s="4">
        <v>151.94703966140162</v>
      </c>
      <c r="U126" s="7">
        <v>0.22124288427424532</v>
      </c>
    </row>
    <row r="127" spans="19:21" x14ac:dyDescent="0.25">
      <c r="S127" s="11">
        <v>109</v>
      </c>
      <c r="T127" s="4">
        <v>179.39965853692638</v>
      </c>
      <c r="U127" s="7">
        <v>0.44188762688415339</v>
      </c>
    </row>
    <row r="128" spans="19:21" x14ac:dyDescent="0.25">
      <c r="S128" s="11">
        <v>110</v>
      </c>
      <c r="T128" s="4">
        <v>223.69752325784171</v>
      </c>
      <c r="U128" s="7">
        <v>0.79792254667932583</v>
      </c>
    </row>
    <row r="129" spans="19:21" x14ac:dyDescent="0.25">
      <c r="S129" s="11">
        <v>111</v>
      </c>
      <c r="T129" s="4">
        <v>79.899257099552244</v>
      </c>
      <c r="U129" s="7">
        <v>-0.35782625703623017</v>
      </c>
    </row>
    <row r="130" spans="19:21" x14ac:dyDescent="0.25">
      <c r="S130" s="11">
        <v>112</v>
      </c>
      <c r="T130" s="4">
        <v>87.982084222070696</v>
      </c>
      <c r="U130" s="7">
        <v>-0.29286220686328002</v>
      </c>
    </row>
    <row r="131" spans="19:21" x14ac:dyDescent="0.25">
      <c r="S131" s="11">
        <v>113</v>
      </c>
      <c r="T131" s="4">
        <v>239.37581172827336</v>
      </c>
      <c r="U131" s="7">
        <v>0.92393354547720108</v>
      </c>
    </row>
    <row r="132" spans="19:21" x14ac:dyDescent="0.25">
      <c r="S132" s="11">
        <v>114</v>
      </c>
      <c r="T132" s="4">
        <v>151.47234332063141</v>
      </c>
      <c r="U132" s="7">
        <v>0.21742761067859995</v>
      </c>
    </row>
    <row r="133" spans="19:21" x14ac:dyDescent="0.25">
      <c r="S133" s="11">
        <v>115</v>
      </c>
      <c r="T133" s="4">
        <v>401.61010246891016</v>
      </c>
      <c r="U133" s="7">
        <v>2.2278580812482733</v>
      </c>
    </row>
    <row r="134" spans="19:21" x14ac:dyDescent="0.25">
      <c r="S134" s="11">
        <v>116</v>
      </c>
      <c r="T134" s="4">
        <v>140.76396361778868</v>
      </c>
      <c r="U134" s="7">
        <v>0.13136122502643199</v>
      </c>
    </row>
    <row r="135" spans="19:21" x14ac:dyDescent="0.25">
      <c r="S135" s="11">
        <v>117</v>
      </c>
      <c r="T135" s="4">
        <v>148.7341775827384</v>
      </c>
      <c r="U135" s="7">
        <v>0.19542017025187586</v>
      </c>
    </row>
    <row r="136" spans="19:21" x14ac:dyDescent="0.25">
      <c r="S136" s="11">
        <v>118</v>
      </c>
      <c r="T136" s="4">
        <v>218.3725753015741</v>
      </c>
      <c r="U136" s="7">
        <v>0.75512437953362888</v>
      </c>
    </row>
    <row r="137" spans="19:21" x14ac:dyDescent="0.25">
      <c r="S137" s="11">
        <v>119</v>
      </c>
      <c r="T137" s="4">
        <v>155.67599403012665</v>
      </c>
      <c r="U137" s="7">
        <v>0.25121358326737386</v>
      </c>
    </row>
    <row r="138" spans="19:21" x14ac:dyDescent="0.25">
      <c r="S138" s="11">
        <v>120</v>
      </c>
      <c r="T138" s="4">
        <v>157.88318826187563</v>
      </c>
      <c r="U138" s="7">
        <v>0.26895345010348515</v>
      </c>
    </row>
    <row r="139" spans="19:21" x14ac:dyDescent="0.25">
      <c r="S139" s="11">
        <v>121</v>
      </c>
      <c r="T139" s="4">
        <v>253.55240381796557</v>
      </c>
      <c r="U139" s="7">
        <v>1.0378749704064103</v>
      </c>
    </row>
    <row r="140" spans="19:21" x14ac:dyDescent="0.25">
      <c r="S140" s="11">
        <v>122</v>
      </c>
      <c r="T140" s="4">
        <v>181.21191248885097</v>
      </c>
      <c r="U140" s="7">
        <v>0.45645324295813339</v>
      </c>
    </row>
    <row r="141" spans="19:21" x14ac:dyDescent="0.25">
      <c r="S141" s="11">
        <v>123</v>
      </c>
      <c r="T141" s="4">
        <v>203.54166272597061</v>
      </c>
      <c r="U141" s="7">
        <v>0.635923989117269</v>
      </c>
    </row>
    <row r="142" spans="19:21" x14ac:dyDescent="0.25">
      <c r="S142" s="11">
        <v>124</v>
      </c>
      <c r="T142" s="4">
        <v>79.470932354464111</v>
      </c>
      <c r="U142" s="7">
        <v>-0.36126882852866016</v>
      </c>
    </row>
    <row r="143" spans="19:21" x14ac:dyDescent="0.25">
      <c r="S143" s="11">
        <v>125</v>
      </c>
      <c r="T143" s="4">
        <v>107.58325584250942</v>
      </c>
      <c r="U143" s="7">
        <v>-0.13532184662827995</v>
      </c>
    </row>
    <row r="144" spans="19:21" x14ac:dyDescent="0.25">
      <c r="S144" s="11">
        <v>126</v>
      </c>
      <c r="T144" s="4">
        <v>177.12584889332373</v>
      </c>
      <c r="U144" s="7">
        <v>0.42361235246201367</v>
      </c>
    </row>
    <row r="145" spans="19:21" x14ac:dyDescent="0.25">
      <c r="S145" s="11">
        <v>127</v>
      </c>
      <c r="T145" s="4">
        <v>160.40236392432561</v>
      </c>
      <c r="U145" s="7">
        <v>0.28920080312108665</v>
      </c>
    </row>
    <row r="146" spans="19:21" x14ac:dyDescent="0.25">
      <c r="S146" s="11">
        <v>128</v>
      </c>
      <c r="T146" s="4">
        <v>251.03451701458943</v>
      </c>
      <c r="U146" s="7">
        <v>1.0176379763268719</v>
      </c>
    </row>
    <row r="147" spans="19:21" x14ac:dyDescent="0.25">
      <c r="S147" s="11">
        <v>129</v>
      </c>
      <c r="T147" s="4">
        <v>201.79761538947457</v>
      </c>
      <c r="U147" s="7">
        <v>0.62190656959873469</v>
      </c>
    </row>
    <row r="148" spans="19:21" x14ac:dyDescent="0.25">
      <c r="S148" s="11">
        <v>130</v>
      </c>
      <c r="T148" s="4">
        <v>116.97243155565955</v>
      </c>
      <c r="U148" s="7">
        <v>-5.9858290020418314E-2</v>
      </c>
    </row>
    <row r="149" spans="19:21" x14ac:dyDescent="0.25">
      <c r="S149" s="11">
        <v>131</v>
      </c>
      <c r="T149" s="4">
        <v>313.15433111962471</v>
      </c>
      <c r="U149" s="7">
        <v>1.5169131258609925</v>
      </c>
    </row>
    <row r="150" spans="19:21" x14ac:dyDescent="0.25">
      <c r="S150" s="11">
        <v>132</v>
      </c>
      <c r="T150" s="4">
        <v>186.63660243388983</v>
      </c>
      <c r="U150" s="7">
        <v>0.50005306569594787</v>
      </c>
    </row>
    <row r="151" spans="19:21" x14ac:dyDescent="0.25">
      <c r="S151" s="11">
        <v>133</v>
      </c>
      <c r="T151" s="4">
        <v>256.43570834026622</v>
      </c>
      <c r="U151" s="7">
        <v>1.061048933774845</v>
      </c>
    </row>
    <row r="152" spans="19:21" x14ac:dyDescent="0.25">
      <c r="S152" s="11">
        <v>134</v>
      </c>
      <c r="T152" s="4">
        <v>348.2357342947796</v>
      </c>
      <c r="U152" s="7">
        <v>1.798872643423723</v>
      </c>
    </row>
    <row r="153" spans="19:21" x14ac:dyDescent="0.25">
      <c r="S153" s="11">
        <v>135</v>
      </c>
      <c r="T153" s="4">
        <v>162.97537316068002</v>
      </c>
      <c r="U153" s="7">
        <v>0.30988083234753261</v>
      </c>
    </row>
    <row r="154" spans="19:21" x14ac:dyDescent="0.25">
      <c r="S154" s="11">
        <v>136</v>
      </c>
      <c r="T154" s="4">
        <v>577.502738423972</v>
      </c>
      <c r="U154" s="7">
        <v>3.641558739945121</v>
      </c>
    </row>
    <row r="155" spans="19:21" x14ac:dyDescent="0.25">
      <c r="S155" s="11">
        <v>137</v>
      </c>
      <c r="T155" s="4">
        <v>172.11003106470699</v>
      </c>
      <c r="U155" s="7">
        <v>0.38329875473964781</v>
      </c>
    </row>
    <row r="156" spans="19:21" x14ac:dyDescent="0.25">
      <c r="S156" s="11">
        <v>138</v>
      </c>
      <c r="T156" s="4">
        <v>288.55790199263947</v>
      </c>
      <c r="U156" s="7">
        <v>1.3192244172370957</v>
      </c>
    </row>
    <row r="157" spans="19:21" x14ac:dyDescent="0.25">
      <c r="S157" s="11">
        <v>139</v>
      </c>
      <c r="T157" s="4">
        <v>208.7077564157662</v>
      </c>
      <c r="U157" s="7">
        <v>0.67744539797272307</v>
      </c>
    </row>
    <row r="158" spans="19:21" x14ac:dyDescent="0.25">
      <c r="S158" s="11">
        <v>140</v>
      </c>
      <c r="T158" s="4">
        <v>98.944072092720276</v>
      </c>
      <c r="U158" s="7">
        <v>-0.20475749804918597</v>
      </c>
    </row>
    <row r="159" spans="19:21" x14ac:dyDescent="0.25">
      <c r="S159" s="11">
        <v>141</v>
      </c>
      <c r="T159" s="4">
        <v>105.71199774133889</v>
      </c>
      <c r="U159" s="7">
        <v>-0.15036169634030794</v>
      </c>
    </row>
    <row r="160" spans="19:21" x14ac:dyDescent="0.25">
      <c r="S160" s="11">
        <v>142</v>
      </c>
      <c r="T160" s="4">
        <v>164.28864084274986</v>
      </c>
      <c r="U160" s="7">
        <v>0.320435949547901</v>
      </c>
    </row>
    <row r="161" spans="19:21" x14ac:dyDescent="0.25">
      <c r="S161" s="11">
        <v>143</v>
      </c>
      <c r="T161" s="4">
        <v>174.55451135319865</v>
      </c>
      <c r="U161" s="7">
        <v>0.4029457591480361</v>
      </c>
    </row>
    <row r="162" spans="19:21" x14ac:dyDescent="0.25">
      <c r="S162" s="11">
        <v>144</v>
      </c>
      <c r="T162" s="4">
        <v>346.6822257648094</v>
      </c>
      <c r="U162" s="7">
        <v>1.7863866401286721</v>
      </c>
    </row>
    <row r="163" spans="19:21" x14ac:dyDescent="0.25">
      <c r="S163" s="11">
        <v>145</v>
      </c>
      <c r="T163" s="4">
        <v>203.53634321703584</v>
      </c>
      <c r="U163" s="7">
        <v>0.6358812346651328</v>
      </c>
    </row>
    <row r="164" spans="19:21" x14ac:dyDescent="0.25">
      <c r="S164" s="11">
        <v>146</v>
      </c>
      <c r="T164" s="4">
        <v>178.77048929789791</v>
      </c>
      <c r="U164" s="7">
        <v>0.43683080933851404</v>
      </c>
    </row>
    <row r="165" spans="19:21" x14ac:dyDescent="0.25">
      <c r="S165" s="11">
        <v>147</v>
      </c>
      <c r="T165" s="4">
        <v>186.79763255771493</v>
      </c>
      <c r="U165" s="7">
        <v>0.50134731198935012</v>
      </c>
    </row>
    <row r="166" spans="19:21" x14ac:dyDescent="0.25">
      <c r="S166" s="11">
        <v>148</v>
      </c>
      <c r="T166" s="4">
        <v>266.7677356251578</v>
      </c>
      <c r="U166" s="7">
        <v>1.1440904647577383</v>
      </c>
    </row>
    <row r="167" spans="19:21" x14ac:dyDescent="0.25">
      <c r="S167" s="11">
        <v>149</v>
      </c>
      <c r="T167" s="4">
        <v>219.0116694067863</v>
      </c>
      <c r="U167" s="7">
        <v>0.76026096613716687</v>
      </c>
    </row>
    <row r="168" spans="19:21" x14ac:dyDescent="0.25">
      <c r="S168" s="11">
        <v>150</v>
      </c>
      <c r="T168" s="4">
        <v>150.64478161597472</v>
      </c>
      <c r="U168" s="7">
        <v>0.21077625474983708</v>
      </c>
    </row>
    <row r="169" spans="19:21" x14ac:dyDescent="0.25">
      <c r="S169" s="11">
        <v>151</v>
      </c>
      <c r="T169" s="4">
        <v>182.81581751690399</v>
      </c>
      <c r="U169" s="7">
        <v>0.46934429767645058</v>
      </c>
    </row>
    <row r="170" spans="19:21" x14ac:dyDescent="0.25">
      <c r="S170" s="11">
        <v>152</v>
      </c>
      <c r="T170" s="4">
        <v>143.24017816261912</v>
      </c>
      <c r="U170" s="7">
        <v>0.1512632869524122</v>
      </c>
    </row>
    <row r="171" spans="19:21" x14ac:dyDescent="0.25">
      <c r="S171" s="11">
        <v>153</v>
      </c>
      <c r="T171" s="4">
        <v>147.3382345535102</v>
      </c>
      <c r="U171" s="7">
        <v>0.18420056705923638</v>
      </c>
    </row>
    <row r="172" spans="19:21" x14ac:dyDescent="0.25">
      <c r="S172" s="11">
        <v>154</v>
      </c>
      <c r="T172" s="4">
        <v>223.838332435578</v>
      </c>
      <c r="U172" s="7">
        <v>0.79905427130347206</v>
      </c>
    </row>
    <row r="173" spans="19:21" x14ac:dyDescent="0.25">
      <c r="S173" s="11">
        <v>155</v>
      </c>
      <c r="T173" s="4">
        <v>222.78591802426484</v>
      </c>
      <c r="U173" s="7">
        <v>0.79059570828054038</v>
      </c>
    </row>
    <row r="174" spans="19:21" x14ac:dyDescent="0.25">
      <c r="S174" s="11">
        <v>156</v>
      </c>
      <c r="T174" s="4">
        <v>104.61405395831727</v>
      </c>
      <c r="U174" s="7">
        <v>-0.15918619226557407</v>
      </c>
    </row>
    <row r="175" spans="19:21" x14ac:dyDescent="0.25">
      <c r="S175" s="11">
        <v>157</v>
      </c>
      <c r="T175" s="4">
        <v>220.79050730333179</v>
      </c>
      <c r="U175" s="7">
        <v>0.77455800758183413</v>
      </c>
    </row>
    <row r="176" spans="19:21" x14ac:dyDescent="0.25">
      <c r="S176" s="11">
        <v>158</v>
      </c>
      <c r="T176" s="4">
        <v>115.24253407303893</v>
      </c>
      <c r="U176" s="7">
        <v>-7.3761983016886967E-2</v>
      </c>
    </row>
    <row r="177" spans="19:21" x14ac:dyDescent="0.25">
      <c r="S177" s="11">
        <v>159</v>
      </c>
      <c r="T177" s="4">
        <v>259.15728154244505</v>
      </c>
      <c r="U177" s="7">
        <v>1.0829230151297624</v>
      </c>
    </row>
    <row r="178" spans="19:21" x14ac:dyDescent="0.25">
      <c r="S178" s="11">
        <v>160</v>
      </c>
      <c r="T178" s="4">
        <v>389.78027133393562</v>
      </c>
      <c r="U178" s="7">
        <v>2.1327782618062661</v>
      </c>
    </row>
    <row r="179" spans="19:21" x14ac:dyDescent="0.25">
      <c r="S179" s="11">
        <v>161</v>
      </c>
      <c r="T179" s="4">
        <v>210.55106541946338</v>
      </c>
      <c r="U179" s="7">
        <v>0.69226061259816252</v>
      </c>
    </row>
    <row r="180" spans="19:21" x14ac:dyDescent="0.25">
      <c r="S180" s="11">
        <v>162</v>
      </c>
      <c r="T180" s="4">
        <v>167.07749980438956</v>
      </c>
      <c r="U180" s="7">
        <v>0.34285082626900465</v>
      </c>
    </row>
    <row r="181" spans="19:21" x14ac:dyDescent="0.25">
      <c r="S181" s="11">
        <v>163</v>
      </c>
      <c r="T181" s="4">
        <v>112.39154112647881</v>
      </c>
      <c r="U181" s="7">
        <v>-9.6676248782520346E-2</v>
      </c>
    </row>
    <row r="182" spans="19:21" x14ac:dyDescent="0.25">
      <c r="S182" s="11">
        <v>164</v>
      </c>
      <c r="T182" s="4">
        <v>186.46869724300703</v>
      </c>
      <c r="U182" s="7">
        <v>0.49870356247393532</v>
      </c>
    </row>
    <row r="183" spans="19:21" x14ac:dyDescent="0.25">
      <c r="S183" s="11">
        <v>165</v>
      </c>
      <c r="T183" s="4">
        <v>171.31694012841683</v>
      </c>
      <c r="U183" s="7">
        <v>0.37692445047755041</v>
      </c>
    </row>
    <row r="184" spans="19:21" x14ac:dyDescent="0.25">
      <c r="S184" s="11">
        <v>166</v>
      </c>
      <c r="T184" s="4">
        <v>109.39732004500375</v>
      </c>
      <c r="U184" s="7">
        <v>-0.12074168103999561</v>
      </c>
    </row>
    <row r="185" spans="19:21" x14ac:dyDescent="0.25">
      <c r="S185" s="11">
        <v>167</v>
      </c>
      <c r="T185" s="4">
        <v>187.53706163206542</v>
      </c>
      <c r="U185" s="7">
        <v>0.50729032014198205</v>
      </c>
    </row>
    <row r="186" spans="19:21" x14ac:dyDescent="0.25">
      <c r="S186" s="11">
        <v>168</v>
      </c>
      <c r="T186" s="4">
        <v>109.07263262870229</v>
      </c>
      <c r="U186" s="7">
        <v>-0.1233512889511148</v>
      </c>
    </row>
    <row r="187" spans="19:21" x14ac:dyDescent="0.25">
      <c r="S187" s="11">
        <v>169</v>
      </c>
      <c r="T187" s="4">
        <v>183.12924203082227</v>
      </c>
      <c r="U187" s="7">
        <v>0.47186338234063863</v>
      </c>
    </row>
    <row r="188" spans="19:21" x14ac:dyDescent="0.25">
      <c r="S188" s="11">
        <v>170</v>
      </c>
      <c r="T188" s="4">
        <v>167.36203832687372</v>
      </c>
      <c r="U188" s="7">
        <v>0.34513774575529421</v>
      </c>
    </row>
    <row r="189" spans="19:21" x14ac:dyDescent="0.25">
      <c r="S189" s="11">
        <v>171</v>
      </c>
      <c r="T189" s="4">
        <v>148.0673001139377</v>
      </c>
      <c r="U189" s="7">
        <v>0.19006028061354852</v>
      </c>
    </row>
    <row r="190" spans="19:21" x14ac:dyDescent="0.25">
      <c r="S190" s="11">
        <v>172</v>
      </c>
      <c r="T190" s="4">
        <v>209.49555513124074</v>
      </c>
      <c r="U190" s="7">
        <v>0.68377716710529435</v>
      </c>
    </row>
    <row r="191" spans="19:21" x14ac:dyDescent="0.25">
      <c r="S191" s="11">
        <v>173</v>
      </c>
      <c r="T191" s="4">
        <v>102.80891094787046</v>
      </c>
      <c r="U191" s="7">
        <v>-0.17369465561910902</v>
      </c>
    </row>
    <row r="192" spans="19:21" x14ac:dyDescent="0.25">
      <c r="S192" s="11">
        <v>174</v>
      </c>
      <c r="T192" s="4">
        <v>53.20183931314785</v>
      </c>
      <c r="U192" s="7">
        <v>-0.57240122718897402</v>
      </c>
    </row>
    <row r="193" spans="19:21" x14ac:dyDescent="0.25">
      <c r="S193" s="11">
        <v>175</v>
      </c>
      <c r="T193" s="4">
        <v>171.47165962079322</v>
      </c>
      <c r="U193" s="7">
        <v>0.37816797637673383</v>
      </c>
    </row>
    <row r="194" spans="19:21" x14ac:dyDescent="0.25">
      <c r="S194" s="11">
        <v>176</v>
      </c>
      <c r="T194" s="4">
        <v>228.50474327472085</v>
      </c>
      <c r="U194" s="7">
        <v>0.83655958266131525</v>
      </c>
    </row>
    <row r="195" spans="19:21" x14ac:dyDescent="0.25">
      <c r="S195" s="11">
        <v>177</v>
      </c>
      <c r="T195" s="4">
        <v>142.82363853740708</v>
      </c>
      <c r="U195" s="7">
        <v>0.14791543592193435</v>
      </c>
    </row>
    <row r="196" spans="19:21" x14ac:dyDescent="0.25">
      <c r="S196" s="11">
        <v>178</v>
      </c>
      <c r="T196" s="4">
        <v>167.32796430720896</v>
      </c>
      <c r="U196" s="7">
        <v>0.34486388287420788</v>
      </c>
    </row>
    <row r="197" spans="19:21" x14ac:dyDescent="0.25">
      <c r="S197" s="11">
        <v>179</v>
      </c>
      <c r="T197" s="4">
        <v>90.210952082214774</v>
      </c>
      <c r="U197" s="7">
        <v>-0.27494814272452361</v>
      </c>
    </row>
    <row r="198" spans="19:21" x14ac:dyDescent="0.25">
      <c r="S198" s="11">
        <v>180</v>
      </c>
      <c r="T198" s="4">
        <v>234.13925342263042</v>
      </c>
      <c r="U198" s="7">
        <v>0.88184579185525158</v>
      </c>
    </row>
    <row r="199" spans="19:21" x14ac:dyDescent="0.25">
      <c r="S199" s="11">
        <v>181</v>
      </c>
      <c r="T199" s="4">
        <v>250.95291800640391</v>
      </c>
      <c r="U199" s="7">
        <v>1.016982141186336</v>
      </c>
    </row>
    <row r="200" spans="19:21" x14ac:dyDescent="0.25">
      <c r="S200" s="11">
        <v>182</v>
      </c>
      <c r="T200" s="4">
        <v>138.58421162727808</v>
      </c>
      <c r="U200" s="7">
        <v>0.1138419195248197</v>
      </c>
    </row>
    <row r="201" spans="19:21" x14ac:dyDescent="0.25">
      <c r="S201" s="11">
        <v>183</v>
      </c>
      <c r="T201" s="4">
        <v>172.90903132055453</v>
      </c>
      <c r="U201" s="7">
        <v>0.38972055393469329</v>
      </c>
    </row>
    <row r="202" spans="19:21" x14ac:dyDescent="0.25">
      <c r="S202" s="11">
        <v>184</v>
      </c>
      <c r="T202" s="4">
        <v>154.75228573144207</v>
      </c>
      <c r="U202" s="7">
        <v>0.2437894689876392</v>
      </c>
    </row>
    <row r="203" spans="19:21" x14ac:dyDescent="0.25">
      <c r="S203" s="11">
        <v>185</v>
      </c>
      <c r="T203" s="4">
        <v>331.44065251964281</v>
      </c>
      <c r="U203" s="7">
        <v>1.6638856495711525</v>
      </c>
    </row>
    <row r="204" spans="19:21" x14ac:dyDescent="0.25">
      <c r="S204" s="11">
        <v>186</v>
      </c>
      <c r="T204" s="4">
        <v>199.37611006516923</v>
      </c>
      <c r="U204" s="7">
        <v>0.60244422171008871</v>
      </c>
    </row>
    <row r="205" spans="19:21" x14ac:dyDescent="0.25">
      <c r="S205" s="11">
        <v>187</v>
      </c>
      <c r="T205" s="4">
        <v>111.58135674358776</v>
      </c>
      <c r="U205" s="7">
        <v>-0.10318793808400772</v>
      </c>
    </row>
    <row r="206" spans="19:21" x14ac:dyDescent="0.25">
      <c r="S206" s="11">
        <v>188</v>
      </c>
      <c r="T206" s="4">
        <v>222.81664974633105</v>
      </c>
      <c r="U206" s="7">
        <v>0.79084270813640134</v>
      </c>
    </row>
    <row r="207" spans="19:21" x14ac:dyDescent="0.25">
      <c r="S207" s="11">
        <v>189</v>
      </c>
      <c r="T207" s="4">
        <v>86.611071323502657</v>
      </c>
      <c r="U207" s="7">
        <v>-0.30388143929028566</v>
      </c>
    </row>
    <row r="208" spans="19:21" x14ac:dyDescent="0.25">
      <c r="S208" s="11">
        <v>190</v>
      </c>
      <c r="T208" s="4">
        <v>111.49870672951711</v>
      </c>
      <c r="U208" s="7">
        <v>-0.10385222046682918</v>
      </c>
    </row>
    <row r="209" spans="19:21" x14ac:dyDescent="0.25">
      <c r="S209" s="11">
        <v>191</v>
      </c>
      <c r="T209" s="4">
        <v>235.2604149013676</v>
      </c>
      <c r="U209" s="7">
        <v>0.89085689520469047</v>
      </c>
    </row>
    <row r="210" spans="19:21" x14ac:dyDescent="0.25">
      <c r="S210" s="11">
        <v>192</v>
      </c>
      <c r="T210" s="4">
        <v>187.47976847437224</v>
      </c>
      <c r="U210" s="7">
        <v>0.50682983824443206</v>
      </c>
    </row>
    <row r="211" spans="19:21" x14ac:dyDescent="0.25">
      <c r="S211" s="11">
        <v>193</v>
      </c>
      <c r="T211" s="4">
        <v>332.52088909409434</v>
      </c>
      <c r="U211" s="7">
        <v>1.6725678274722258</v>
      </c>
    </row>
    <row r="212" spans="19:21" x14ac:dyDescent="0.25">
      <c r="S212" s="11">
        <v>194</v>
      </c>
      <c r="T212" s="4">
        <v>98.143618589832329</v>
      </c>
      <c r="U212" s="7">
        <v>-0.21119097741655424</v>
      </c>
    </row>
    <row r="213" spans="19:21" x14ac:dyDescent="0.25">
      <c r="S213" s="11">
        <v>195</v>
      </c>
      <c r="T213" s="4">
        <v>91.904438298406248</v>
      </c>
      <c r="U213" s="7">
        <v>-0.26133709774629288</v>
      </c>
    </row>
    <row r="214" spans="19:21" x14ac:dyDescent="0.25">
      <c r="S214" s="11">
        <v>196</v>
      </c>
      <c r="T214" s="4">
        <v>108.28829514668602</v>
      </c>
      <c r="U214" s="7">
        <v>-0.12965523913610333</v>
      </c>
    </row>
    <row r="215" spans="19:21" x14ac:dyDescent="0.25">
      <c r="S215" s="11">
        <v>197</v>
      </c>
      <c r="T215" s="4">
        <v>129.46843818163757</v>
      </c>
      <c r="U215" s="7">
        <v>4.0575777058652562E-2</v>
      </c>
    </row>
    <row r="216" spans="19:21" x14ac:dyDescent="0.25">
      <c r="S216" s="11">
        <v>198</v>
      </c>
      <c r="T216" s="4">
        <v>115.39402566358262</v>
      </c>
      <c r="U216" s="7">
        <v>-7.2544400710636392E-2</v>
      </c>
    </row>
    <row r="217" spans="19:21" x14ac:dyDescent="0.25">
      <c r="S217" s="11">
        <v>199</v>
      </c>
      <c r="T217" s="4">
        <v>219.55918722149627</v>
      </c>
      <c r="U217" s="7">
        <v>0.76466152725844938</v>
      </c>
    </row>
    <row r="218" spans="19:21" x14ac:dyDescent="0.25">
      <c r="S218" s="11">
        <v>200</v>
      </c>
      <c r="T218" s="4">
        <v>146.44575556245314</v>
      </c>
      <c r="U218" s="7">
        <v>0.17702745187633129</v>
      </c>
    </row>
    <row r="219" spans="19:21" x14ac:dyDescent="0.25">
      <c r="S219" s="11">
        <v>201</v>
      </c>
      <c r="T219" s="4">
        <v>168.94375542360623</v>
      </c>
      <c r="U219" s="7">
        <v>0.35785046956764366</v>
      </c>
    </row>
    <row r="220" spans="19:21" x14ac:dyDescent="0.25">
      <c r="S220" s="11">
        <v>202</v>
      </c>
      <c r="T220" s="4">
        <v>166.29793440553766</v>
      </c>
      <c r="U220" s="7">
        <v>0.33658523071481805</v>
      </c>
    </row>
    <row r="221" spans="19:21" x14ac:dyDescent="0.25">
      <c r="S221" s="11">
        <v>203</v>
      </c>
      <c r="T221" s="4">
        <v>282.84904003883088</v>
      </c>
      <c r="U221" s="7">
        <v>1.2733406207911178</v>
      </c>
    </row>
    <row r="222" spans="19:21" x14ac:dyDescent="0.25">
      <c r="S222" s="11">
        <v>204</v>
      </c>
      <c r="T222" s="4">
        <v>114.72002618588006</v>
      </c>
      <c r="U222" s="7">
        <v>-7.7961532021539437E-2</v>
      </c>
    </row>
    <row r="223" spans="19:21" x14ac:dyDescent="0.25">
      <c r="S223" s="11">
        <v>205</v>
      </c>
      <c r="T223" s="4">
        <v>158.70033899442586</v>
      </c>
      <c r="U223" s="7">
        <v>0.27552112999860046</v>
      </c>
    </row>
    <row r="224" spans="19:21" x14ac:dyDescent="0.25">
      <c r="S224" s="11">
        <v>206</v>
      </c>
      <c r="T224" s="4">
        <v>168.18351628849911</v>
      </c>
      <c r="U224" s="7">
        <v>0.35174020485853652</v>
      </c>
    </row>
    <row r="225" spans="19:21" x14ac:dyDescent="0.25">
      <c r="S225" s="11">
        <v>207</v>
      </c>
      <c r="T225" s="4">
        <v>210.94284733116939</v>
      </c>
      <c r="U225" s="7">
        <v>0.6954094786301992</v>
      </c>
    </row>
    <row r="226" spans="19:21" x14ac:dyDescent="0.25">
      <c r="S226" s="11">
        <v>208</v>
      </c>
      <c r="T226" s="4">
        <v>169.15907258376572</v>
      </c>
      <c r="U226" s="7">
        <v>0.35958103668032249</v>
      </c>
    </row>
    <row r="227" spans="19:21" x14ac:dyDescent="0.25">
      <c r="S227" s="11">
        <v>209</v>
      </c>
      <c r="T227" s="4">
        <v>328.67876565816641</v>
      </c>
      <c r="U227" s="7">
        <v>1.641687555522958</v>
      </c>
    </row>
    <row r="228" spans="19:21" x14ac:dyDescent="0.25">
      <c r="S228" s="11">
        <v>210</v>
      </c>
      <c r="T228" s="4">
        <v>94.753169819632021</v>
      </c>
      <c r="U228" s="7">
        <v>-0.23844100771875887</v>
      </c>
    </row>
    <row r="229" spans="19:21" x14ac:dyDescent="0.25">
      <c r="S229" s="11">
        <v>211</v>
      </c>
      <c r="T229" s="4">
        <v>241.44463437181827</v>
      </c>
      <c r="U229" s="7">
        <v>0.94056127931054712</v>
      </c>
    </row>
    <row r="230" spans="19:21" x14ac:dyDescent="0.25">
      <c r="S230" s="11">
        <v>212</v>
      </c>
      <c r="T230" s="4">
        <v>67.962326264729626</v>
      </c>
      <c r="U230" s="7">
        <v>-0.45376686815038081</v>
      </c>
    </row>
    <row r="231" spans="19:21" x14ac:dyDescent="0.25">
      <c r="S231" s="11">
        <v>213</v>
      </c>
      <c r="T231" s="4">
        <v>172.45922471790524</v>
      </c>
      <c r="U231" s="7">
        <v>0.38610532645800699</v>
      </c>
    </row>
    <row r="232" spans="19:21" x14ac:dyDescent="0.25">
      <c r="S232" s="11">
        <v>214</v>
      </c>
      <c r="T232" s="4">
        <v>233.33987938000863</v>
      </c>
      <c r="U232" s="7">
        <v>0.87542098842636729</v>
      </c>
    </row>
    <row r="233" spans="19:21" x14ac:dyDescent="0.25">
      <c r="S233" s="11">
        <v>215</v>
      </c>
      <c r="T233" s="4">
        <v>294.75818841411217</v>
      </c>
      <c r="U233" s="7">
        <v>1.3690579361365711</v>
      </c>
    </row>
    <row r="234" spans="19:21" x14ac:dyDescent="0.25">
      <c r="S234" s="11">
        <v>216</v>
      </c>
      <c r="T234" s="4">
        <v>229.97968086883398</v>
      </c>
      <c r="U234" s="7">
        <v>0.84841408832047893</v>
      </c>
    </row>
    <row r="235" spans="19:21" x14ac:dyDescent="0.25">
      <c r="S235" s="11">
        <v>217</v>
      </c>
      <c r="T235" s="4">
        <v>261.24557113563463</v>
      </c>
      <c r="U235" s="7">
        <v>1.0997072105419918</v>
      </c>
    </row>
    <row r="236" spans="19:21" x14ac:dyDescent="0.25">
      <c r="S236" s="11">
        <v>218</v>
      </c>
      <c r="T236" s="4">
        <v>155.62872849446637</v>
      </c>
      <c r="U236" s="7">
        <v>0.25083369630659358</v>
      </c>
    </row>
    <row r="237" spans="19:21" x14ac:dyDescent="0.25">
      <c r="S237" s="11">
        <v>219</v>
      </c>
      <c r="T237" s="4">
        <v>326.11506589106921</v>
      </c>
      <c r="U237" s="7">
        <v>1.6210823492289759</v>
      </c>
    </row>
    <row r="238" spans="19:21" x14ac:dyDescent="0.25">
      <c r="S238" s="11">
        <v>220</v>
      </c>
      <c r="T238" s="4">
        <v>336.59374668322471</v>
      </c>
      <c r="U238" s="7">
        <v>1.7053025774250496</v>
      </c>
    </row>
    <row r="239" spans="19:21" x14ac:dyDescent="0.25">
      <c r="S239" s="11">
        <v>221</v>
      </c>
      <c r="T239" s="4">
        <v>483.97498878570622</v>
      </c>
      <c r="U239" s="7">
        <v>2.8898488087582881</v>
      </c>
    </row>
    <row r="240" spans="19:21" x14ac:dyDescent="0.25">
      <c r="S240" s="11">
        <v>222</v>
      </c>
      <c r="T240" s="4">
        <v>121.51089204081016</v>
      </c>
      <c r="U240" s="7">
        <v>-2.3381353152144624E-2</v>
      </c>
    </row>
    <row r="241" spans="19:21" x14ac:dyDescent="0.25">
      <c r="S241" s="11">
        <v>223</v>
      </c>
      <c r="T241" s="4">
        <v>142.17007755100286</v>
      </c>
      <c r="U241" s="7">
        <v>0.14266257475488553</v>
      </c>
    </row>
    <row r="242" spans="19:21" x14ac:dyDescent="0.25">
      <c r="S242" s="11">
        <v>224</v>
      </c>
      <c r="T242" s="4">
        <v>157.85102934731833</v>
      </c>
      <c r="U242" s="7">
        <v>0.26869497948334931</v>
      </c>
    </row>
    <row r="243" spans="19:21" x14ac:dyDescent="0.25">
      <c r="S243" s="11">
        <v>225</v>
      </c>
      <c r="T243" s="4">
        <v>195.64532694227995</v>
      </c>
      <c r="U243" s="7">
        <v>0.57245882448384466</v>
      </c>
    </row>
    <row r="244" spans="19:21" x14ac:dyDescent="0.25">
      <c r="S244" s="11">
        <v>226</v>
      </c>
      <c r="T244" s="4">
        <v>198.89204941432891</v>
      </c>
      <c r="U244" s="7">
        <v>0.59855368441029499</v>
      </c>
    </row>
    <row r="245" spans="19:21" x14ac:dyDescent="0.25">
      <c r="S245" s="11">
        <v>227</v>
      </c>
      <c r="T245" s="4">
        <v>95.239939357009817</v>
      </c>
      <c r="U245" s="7">
        <v>-0.23452869830405232</v>
      </c>
    </row>
    <row r="246" spans="19:21" x14ac:dyDescent="0.25">
      <c r="S246" s="11">
        <v>228</v>
      </c>
      <c r="T246" s="4">
        <v>116.93542720572687</v>
      </c>
      <c r="U246" s="7">
        <v>-6.015570482457111E-2</v>
      </c>
    </row>
    <row r="247" spans="19:21" x14ac:dyDescent="0.25">
      <c r="S247" s="11">
        <v>229</v>
      </c>
      <c r="T247" s="4">
        <v>358.90883044017596</v>
      </c>
      <c r="U247" s="7">
        <v>1.8846554447852109</v>
      </c>
    </row>
    <row r="248" spans="19:21" x14ac:dyDescent="0.25">
      <c r="S248" s="11">
        <v>230</v>
      </c>
      <c r="T248" s="4">
        <v>643.06368494144851</v>
      </c>
      <c r="U248" s="7">
        <v>4.1684912790664566</v>
      </c>
    </row>
    <row r="249" spans="19:21" x14ac:dyDescent="0.25">
      <c r="S249" s="11">
        <v>231</v>
      </c>
      <c r="T249" s="4">
        <v>134.38662348642944</v>
      </c>
      <c r="U249" s="7">
        <v>8.0104673576832042E-2</v>
      </c>
    </row>
    <row r="250" spans="19:21" x14ac:dyDescent="0.25">
      <c r="S250" s="11">
        <v>232</v>
      </c>
      <c r="T250" s="4">
        <v>113.30135909457422</v>
      </c>
      <c r="U250" s="7">
        <v>-8.9363775160149261E-2</v>
      </c>
    </row>
    <row r="251" spans="19:21" x14ac:dyDescent="0.25">
      <c r="S251" s="11">
        <v>233</v>
      </c>
      <c r="T251" s="4">
        <v>132.4443084051039</v>
      </c>
      <c r="U251" s="7">
        <v>6.4493718092781593E-2</v>
      </c>
    </row>
    <row r="252" spans="19:21" x14ac:dyDescent="0.25">
      <c r="S252" s="11">
        <v>234</v>
      </c>
      <c r="T252" s="4">
        <v>127.9322281678148</v>
      </c>
      <c r="U252" s="7">
        <v>2.8228807007030898E-2</v>
      </c>
    </row>
    <row r="253" spans="19:21" x14ac:dyDescent="0.25">
      <c r="S253" s="11">
        <v>235</v>
      </c>
      <c r="T253" s="4">
        <v>138.49771080114022</v>
      </c>
      <c r="U253" s="7">
        <v>0.11314668703697328</v>
      </c>
    </row>
    <row r="254" spans="19:21" x14ac:dyDescent="0.25">
      <c r="S254" s="11">
        <v>236</v>
      </c>
      <c r="T254" s="4">
        <v>64.754933291161024</v>
      </c>
      <c r="U254" s="7">
        <v>-0.47954562537243994</v>
      </c>
    </row>
    <row r="255" spans="19:21" x14ac:dyDescent="0.25">
      <c r="S255" s="11">
        <v>237</v>
      </c>
      <c r="T255" s="4">
        <v>183.82659440955527</v>
      </c>
      <c r="U255" s="7">
        <v>0.47746820776045062</v>
      </c>
    </row>
    <row r="256" spans="19:21" x14ac:dyDescent="0.25">
      <c r="S256" s="11">
        <v>238</v>
      </c>
      <c r="T256" s="4">
        <v>206.28349780638246</v>
      </c>
      <c r="U256" s="7">
        <v>0.65796092112508009</v>
      </c>
    </row>
    <row r="257" spans="19:21" x14ac:dyDescent="0.25">
      <c r="S257" s="11">
        <v>239</v>
      </c>
      <c r="T257" s="4">
        <v>153.79128843171162</v>
      </c>
      <c r="U257" s="7">
        <v>0.23606565207934116</v>
      </c>
    </row>
    <row r="258" spans="19:21" x14ac:dyDescent="0.25">
      <c r="S258" s="11">
        <v>240</v>
      </c>
      <c r="T258" s="4">
        <v>615.42733076988043</v>
      </c>
      <c r="U258" s="7">
        <v>3.9463698020405111</v>
      </c>
    </row>
    <row r="259" spans="19:21" x14ac:dyDescent="0.25">
      <c r="S259" s="11">
        <v>241</v>
      </c>
      <c r="T259" s="4">
        <v>276.32427333110735</v>
      </c>
      <c r="U259" s="7">
        <v>1.2208991587454374</v>
      </c>
    </row>
    <row r="260" spans="19:21" x14ac:dyDescent="0.25">
      <c r="S260" s="11">
        <v>242</v>
      </c>
      <c r="T260" s="4">
        <v>207.41553324535931</v>
      </c>
      <c r="U260" s="7">
        <v>0.66705942167946719</v>
      </c>
    </row>
    <row r="261" spans="19:21" x14ac:dyDescent="0.25">
      <c r="S261" s="11">
        <v>243</v>
      </c>
      <c r="T261" s="4">
        <v>261.43595306279792</v>
      </c>
      <c r="U261" s="7">
        <v>1.1012373658800669</v>
      </c>
    </row>
    <row r="262" spans="19:21" x14ac:dyDescent="0.25">
      <c r="S262" s="11">
        <v>244</v>
      </c>
      <c r="T262" s="4">
        <v>173.40419692556841</v>
      </c>
      <c r="U262" s="7">
        <v>0.39370034500537221</v>
      </c>
    </row>
    <row r="263" spans="19:21" x14ac:dyDescent="0.25">
      <c r="S263" s="11">
        <v>245</v>
      </c>
      <c r="T263" s="4">
        <v>264.4418885999446</v>
      </c>
      <c r="U263" s="7">
        <v>1.1253969506505754</v>
      </c>
    </row>
    <row r="264" spans="19:21" x14ac:dyDescent="0.25">
      <c r="S264" s="11">
        <v>246</v>
      </c>
      <c r="T264" s="4">
        <v>149.95653594303391</v>
      </c>
      <c r="U264" s="7">
        <v>0.20524462259310328</v>
      </c>
    </row>
    <row r="265" spans="19:21" x14ac:dyDescent="0.25">
      <c r="S265" s="11">
        <v>247</v>
      </c>
      <c r="T265" s="4">
        <v>162.85509116575477</v>
      </c>
      <c r="U265" s="7">
        <v>0.30891409070691833</v>
      </c>
    </row>
    <row r="266" spans="19:21" x14ac:dyDescent="0.25">
      <c r="S266" s="11">
        <v>248</v>
      </c>
      <c r="T266" s="4">
        <v>128.76716989583764</v>
      </c>
      <c r="U266" s="7">
        <v>3.493947834622757E-2</v>
      </c>
    </row>
    <row r="267" spans="19:21" x14ac:dyDescent="0.25">
      <c r="S267" s="11">
        <v>249</v>
      </c>
      <c r="T267" s="4">
        <v>187.76479504363073</v>
      </c>
      <c r="U267" s="7">
        <v>0.50912068030566404</v>
      </c>
    </row>
    <row r="268" spans="19:21" x14ac:dyDescent="0.25">
      <c r="S268" s="11">
        <v>250</v>
      </c>
      <c r="T268" s="4">
        <v>57.713549070681097</v>
      </c>
      <c r="U268" s="7">
        <v>-0.5361392937575864</v>
      </c>
    </row>
    <row r="269" spans="19:21" x14ac:dyDescent="0.25">
      <c r="S269" s="11">
        <v>251</v>
      </c>
      <c r="T269" s="4">
        <v>89.110690859827784</v>
      </c>
      <c r="U269" s="7">
        <v>-0.283791264589071</v>
      </c>
    </row>
    <row r="270" spans="19:21" x14ac:dyDescent="0.25">
      <c r="S270" s="11">
        <v>252</v>
      </c>
      <c r="T270" s="4">
        <v>130.84662848078978</v>
      </c>
      <c r="U270" s="7">
        <v>5.165269635741665E-2</v>
      </c>
    </row>
    <row r="271" spans="19:21" x14ac:dyDescent="0.25">
      <c r="S271" s="11">
        <v>253</v>
      </c>
      <c r="T271" s="4">
        <v>298.92621413372166</v>
      </c>
      <c r="U271" s="7">
        <v>1.4025575802420964</v>
      </c>
    </row>
    <row r="272" spans="19:21" x14ac:dyDescent="0.25">
      <c r="S272" s="11">
        <v>254</v>
      </c>
      <c r="T272" s="4">
        <v>230.6239121633036</v>
      </c>
      <c r="U272" s="7">
        <v>0.85359196401947912</v>
      </c>
    </row>
    <row r="273" spans="19:21" x14ac:dyDescent="0.25">
      <c r="S273" s="11">
        <v>255</v>
      </c>
      <c r="T273" s="4">
        <v>132.2281306407416</v>
      </c>
      <c r="U273" s="7">
        <v>6.2756234051933646E-2</v>
      </c>
    </row>
    <row r="274" spans="19:21" x14ac:dyDescent="0.25">
      <c r="S274" s="11">
        <v>256</v>
      </c>
      <c r="T274" s="4">
        <v>135.11026063844253</v>
      </c>
      <c r="U274" s="7">
        <v>8.5920757421978244E-2</v>
      </c>
    </row>
    <row r="275" spans="19:21" x14ac:dyDescent="0.25">
      <c r="S275" s="11">
        <v>257</v>
      </c>
      <c r="T275" s="4">
        <v>134.56108404464268</v>
      </c>
      <c r="U275" s="7">
        <v>8.1506864207062213E-2</v>
      </c>
    </row>
    <row r="276" spans="19:21" x14ac:dyDescent="0.25">
      <c r="S276" s="11">
        <v>258</v>
      </c>
      <c r="T276" s="4">
        <v>102.09787801628335</v>
      </c>
      <c r="U276" s="7">
        <v>-0.17940943565115464</v>
      </c>
    </row>
    <row r="277" spans="19:21" x14ac:dyDescent="0.25">
      <c r="S277" s="11">
        <v>259</v>
      </c>
      <c r="T277" s="4">
        <v>183.24729366572734</v>
      </c>
      <c r="U277" s="7">
        <v>0.47281219792418683</v>
      </c>
    </row>
    <row r="278" spans="19:21" x14ac:dyDescent="0.25">
      <c r="S278" s="11">
        <v>260</v>
      </c>
      <c r="T278" s="4">
        <v>116.88816926474453</v>
      </c>
      <c r="U278" s="7">
        <v>-6.0535530744699195E-2</v>
      </c>
    </row>
    <row r="279" spans="19:21" x14ac:dyDescent="0.25">
      <c r="S279" s="11">
        <v>261</v>
      </c>
      <c r="T279" s="4">
        <v>402.49914827398959</v>
      </c>
      <c r="U279" s="7">
        <v>2.2350036029094165</v>
      </c>
    </row>
    <row r="280" spans="19:21" x14ac:dyDescent="0.25">
      <c r="S280" s="11">
        <v>262</v>
      </c>
      <c r="T280" s="4">
        <v>71.952035796039837</v>
      </c>
      <c r="U280" s="7">
        <v>-0.42170040350393956</v>
      </c>
    </row>
    <row r="281" spans="19:21" x14ac:dyDescent="0.25">
      <c r="S281" s="11">
        <v>263</v>
      </c>
      <c r="T281" s="4">
        <v>328.42992546726606</v>
      </c>
      <c r="U281" s="7">
        <v>1.6396875539886357</v>
      </c>
    </row>
    <row r="282" spans="19:21" x14ac:dyDescent="0.25">
      <c r="S282" s="11">
        <v>264</v>
      </c>
      <c r="T282" s="4">
        <v>60.711726522321179</v>
      </c>
      <c r="U282" s="7">
        <v>-0.51204206299372146</v>
      </c>
    </row>
    <row r="283" spans="19:21" x14ac:dyDescent="0.25">
      <c r="S283" s="11">
        <v>265</v>
      </c>
      <c r="T283" s="4">
        <v>263.12822093201351</v>
      </c>
      <c r="U283" s="7">
        <v>1.1148386186466284</v>
      </c>
    </row>
    <row r="284" spans="19:21" x14ac:dyDescent="0.25">
      <c r="S284" s="11">
        <v>266</v>
      </c>
      <c r="T284" s="4">
        <v>41.454280615627724</v>
      </c>
      <c r="U284" s="7">
        <v>-0.66681979894206944</v>
      </c>
    </row>
    <row r="285" spans="19:21" x14ac:dyDescent="0.25">
      <c r="S285" s="11">
        <v>267</v>
      </c>
      <c r="T285" s="4">
        <v>210.79342869774644</v>
      </c>
      <c r="U285" s="7">
        <v>0.69420855728778674</v>
      </c>
    </row>
    <row r="286" spans="19:21" x14ac:dyDescent="0.25">
      <c r="S286" s="11">
        <v>268</v>
      </c>
      <c r="T286" s="4">
        <v>107.14060502565563</v>
      </c>
      <c r="U286" s="7">
        <v>-0.13887956095759824</v>
      </c>
    </row>
    <row r="287" spans="19:21" x14ac:dyDescent="0.25">
      <c r="S287" s="11">
        <v>269</v>
      </c>
      <c r="T287" s="4">
        <v>163.88996066802042</v>
      </c>
      <c r="U287" s="7">
        <v>0.31723164015448013</v>
      </c>
    </row>
    <row r="288" spans="19:21" x14ac:dyDescent="0.25">
      <c r="S288" s="11">
        <v>270</v>
      </c>
      <c r="T288" s="4">
        <v>77.049959370375063</v>
      </c>
      <c r="U288" s="7">
        <v>-0.38072689784299096</v>
      </c>
    </row>
    <row r="289" spans="19:21" x14ac:dyDescent="0.25">
      <c r="S289" s="11">
        <v>271</v>
      </c>
      <c r="T289" s="4">
        <v>224.77850890512644</v>
      </c>
      <c r="U289" s="7">
        <v>0.80661074509826758</v>
      </c>
    </row>
    <row r="290" spans="19:21" x14ac:dyDescent="0.25">
      <c r="S290" s="11">
        <v>272</v>
      </c>
      <c r="T290" s="4">
        <v>156.77230226691876</v>
      </c>
      <c r="U290" s="7">
        <v>0.26002493382831338</v>
      </c>
    </row>
    <row r="291" spans="19:21" x14ac:dyDescent="0.25">
      <c r="S291" s="11">
        <v>273</v>
      </c>
      <c r="T291" s="4">
        <v>144.64236491886683</v>
      </c>
      <c r="U291" s="7">
        <v>0.16253307280876728</v>
      </c>
    </row>
    <row r="292" spans="19:21" x14ac:dyDescent="0.25">
      <c r="S292" s="11">
        <v>274</v>
      </c>
      <c r="T292" s="4">
        <v>288.96584151570255</v>
      </c>
      <c r="U292" s="7">
        <v>1.3225031467264312</v>
      </c>
    </row>
    <row r="293" spans="19:21" x14ac:dyDescent="0.25">
      <c r="S293" s="11">
        <v>275</v>
      </c>
      <c r="T293" s="4">
        <v>59.855102609042419</v>
      </c>
      <c r="U293" s="7">
        <v>-0.51892700040956097</v>
      </c>
    </row>
    <row r="294" spans="19:21" x14ac:dyDescent="0.25">
      <c r="S294" s="11">
        <v>276</v>
      </c>
      <c r="T294" s="4">
        <v>279.34709255405954</v>
      </c>
      <c r="U294" s="7">
        <v>1.2451944426463553</v>
      </c>
    </row>
    <row r="295" spans="19:21" x14ac:dyDescent="0.25">
      <c r="S295" s="11">
        <v>277</v>
      </c>
      <c r="T295" s="4">
        <v>275.28732377089563</v>
      </c>
      <c r="U295" s="7">
        <v>1.2125648912626237</v>
      </c>
    </row>
    <row r="296" spans="19:21" x14ac:dyDescent="0.25">
      <c r="S296" s="11">
        <v>278</v>
      </c>
      <c r="T296" s="4">
        <v>157.66540188881686</v>
      </c>
      <c r="U296" s="7">
        <v>0.26720303720315752</v>
      </c>
    </row>
    <row r="297" spans="19:21" x14ac:dyDescent="0.25">
      <c r="S297" s="11">
        <v>279</v>
      </c>
      <c r="T297" s="4">
        <v>225.77615946692501</v>
      </c>
      <c r="U297" s="7">
        <v>0.81462915501466804</v>
      </c>
    </row>
    <row r="298" spans="19:21" x14ac:dyDescent="0.25">
      <c r="S298" s="11">
        <v>280</v>
      </c>
      <c r="T298" s="4">
        <v>164.26531093786525</v>
      </c>
      <c r="U298" s="7">
        <v>0.32024844026575505</v>
      </c>
    </row>
    <row r="299" spans="19:21" x14ac:dyDescent="0.25">
      <c r="S299" s="11">
        <v>281</v>
      </c>
      <c r="T299" s="4">
        <v>209.47608905510262</v>
      </c>
      <c r="U299" s="7">
        <v>0.68362071254703927</v>
      </c>
    </row>
    <row r="300" spans="19:21" x14ac:dyDescent="0.25">
      <c r="S300" s="11">
        <v>282</v>
      </c>
      <c r="T300" s="4">
        <v>297.68484648851239</v>
      </c>
      <c r="U300" s="7">
        <v>1.3925803447075422</v>
      </c>
    </row>
    <row r="301" spans="19:21" x14ac:dyDescent="0.25">
      <c r="S301" s="11">
        <v>283</v>
      </c>
      <c r="T301" s="4">
        <v>111.44874270323841</v>
      </c>
      <c r="U301" s="7">
        <v>-0.10425379598747464</v>
      </c>
    </row>
    <row r="302" spans="19:21" x14ac:dyDescent="0.25">
      <c r="S302" s="11">
        <v>284</v>
      </c>
      <c r="T302" s="4">
        <v>120.28524255266287</v>
      </c>
      <c r="U302" s="7">
        <v>-3.3232257252348019E-2</v>
      </c>
    </row>
    <row r="303" spans="19:21" x14ac:dyDescent="0.25">
      <c r="S303" s="11">
        <v>285</v>
      </c>
      <c r="T303" s="4">
        <v>187.96036449379929</v>
      </c>
      <c r="U303" s="7">
        <v>0.51069252928628273</v>
      </c>
    </row>
    <row r="304" spans="19:21" x14ac:dyDescent="0.25">
      <c r="S304" s="11">
        <v>286</v>
      </c>
      <c r="T304" s="4">
        <v>102.91120120661584</v>
      </c>
      <c r="U304" s="7">
        <v>-0.17287251883446519</v>
      </c>
    </row>
    <row r="305" spans="19:21" x14ac:dyDescent="0.25">
      <c r="S305" s="11">
        <v>287</v>
      </c>
      <c r="T305" s="4">
        <v>144.8968449130918</v>
      </c>
      <c r="U305" s="7">
        <v>0.16457840309509564</v>
      </c>
    </row>
    <row r="306" spans="19:21" x14ac:dyDescent="0.25">
      <c r="S306" s="11">
        <v>288</v>
      </c>
      <c r="T306" s="4">
        <v>172.04738775637796</v>
      </c>
      <c r="U306" s="7">
        <v>0.38279527211363096</v>
      </c>
    </row>
    <row r="307" spans="19:21" x14ac:dyDescent="0.25">
      <c r="S307" s="11">
        <v>289</v>
      </c>
      <c r="T307" s="4">
        <v>82.956901157561006</v>
      </c>
      <c r="U307" s="7">
        <v>-0.3332510757309034</v>
      </c>
    </row>
    <row r="308" spans="19:21" x14ac:dyDescent="0.25">
      <c r="S308" s="11">
        <v>290</v>
      </c>
      <c r="T308" s="4">
        <v>222.90179488889663</v>
      </c>
      <c r="U308" s="7">
        <v>0.79152704459810819</v>
      </c>
    </row>
    <row r="309" spans="19:21" x14ac:dyDescent="0.25">
      <c r="S309" s="11">
        <v>291</v>
      </c>
      <c r="T309" s="4">
        <v>95.969644312866748</v>
      </c>
      <c r="U309" s="7">
        <v>-0.22866384574130572</v>
      </c>
    </row>
    <row r="310" spans="19:21" x14ac:dyDescent="0.25">
      <c r="S310" s="11">
        <v>292</v>
      </c>
      <c r="T310" s="4">
        <v>124.11711051611408</v>
      </c>
      <c r="U310" s="7">
        <v>-2.4344115406359501E-3</v>
      </c>
    </row>
    <row r="311" spans="19:21" x14ac:dyDescent="0.25">
      <c r="S311" s="11">
        <v>293</v>
      </c>
      <c r="T311" s="4">
        <v>147.79128748804933</v>
      </c>
      <c r="U311" s="7">
        <v>0.18784188625662535</v>
      </c>
    </row>
    <row r="312" spans="19:21" x14ac:dyDescent="0.25">
      <c r="S312" s="11">
        <v>294</v>
      </c>
      <c r="T312" s="4">
        <v>124.72528785499499</v>
      </c>
      <c r="U312" s="7">
        <v>2.4536879520573596E-3</v>
      </c>
    </row>
    <row r="313" spans="19:21" x14ac:dyDescent="0.25">
      <c r="S313" s="11">
        <v>295</v>
      </c>
      <c r="T313" s="4">
        <v>94.366799903021359</v>
      </c>
      <c r="U313" s="7">
        <v>-0.24154637596028483</v>
      </c>
    </row>
    <row r="314" spans="19:21" x14ac:dyDescent="0.25">
      <c r="S314" s="11">
        <v>296</v>
      </c>
      <c r="T314" s="4">
        <v>90.211485164444639</v>
      </c>
      <c r="U314" s="7">
        <v>-0.27494385818642797</v>
      </c>
    </row>
    <row r="315" spans="19:21" x14ac:dyDescent="0.25">
      <c r="S315" s="11">
        <v>297</v>
      </c>
      <c r="T315" s="4">
        <v>419.2437854266667</v>
      </c>
      <c r="U315" s="7">
        <v>2.3695851585490009</v>
      </c>
    </row>
    <row r="316" spans="19:21" x14ac:dyDescent="0.25">
      <c r="S316" s="11">
        <v>298</v>
      </c>
      <c r="T316" s="4">
        <v>204.17187945293952</v>
      </c>
      <c r="U316" s="7">
        <v>0.64098922563044147</v>
      </c>
    </row>
    <row r="317" spans="19:21" x14ac:dyDescent="0.25">
      <c r="S317" s="11">
        <v>299</v>
      </c>
      <c r="T317" s="4">
        <v>344.84155554255159</v>
      </c>
      <c r="U317" s="7">
        <v>1.7715926341629284</v>
      </c>
    </row>
    <row r="318" spans="19:21" x14ac:dyDescent="0.25">
      <c r="S318" s="11">
        <v>300</v>
      </c>
      <c r="T318" s="4">
        <v>78.245299299137471</v>
      </c>
      <c r="U318" s="7">
        <v>-0.37111960055346838</v>
      </c>
    </row>
    <row r="319" spans="19:21" x14ac:dyDescent="0.25">
      <c r="S319" s="11">
        <v>301</v>
      </c>
      <c r="T319" s="4">
        <v>149.8740266499031</v>
      </c>
      <c r="U319" s="7">
        <v>0.20458147122571213</v>
      </c>
    </row>
    <row r="320" spans="19:21" x14ac:dyDescent="0.25">
      <c r="S320" s="11">
        <v>302</v>
      </c>
      <c r="T320" s="4">
        <v>148.64970585630587</v>
      </c>
      <c r="U320" s="7">
        <v>0.19474124623296785</v>
      </c>
    </row>
    <row r="321" spans="19:21" x14ac:dyDescent="0.25">
      <c r="S321" s="11">
        <v>303</v>
      </c>
      <c r="T321" s="4">
        <v>220.71771812636203</v>
      </c>
      <c r="U321" s="7">
        <v>0.77397297963640921</v>
      </c>
    </row>
    <row r="322" spans="19:21" x14ac:dyDescent="0.25">
      <c r="S322" s="11">
        <v>304</v>
      </c>
      <c r="T322" s="4">
        <v>175.53324501752377</v>
      </c>
      <c r="U322" s="7">
        <v>0.41081212841604065</v>
      </c>
    </row>
    <row r="323" spans="19:21" x14ac:dyDescent="0.25">
      <c r="S323" s="11">
        <v>305</v>
      </c>
      <c r="T323" s="4">
        <v>215.5931533084036</v>
      </c>
      <c r="U323" s="7">
        <v>0.73278535049351867</v>
      </c>
    </row>
    <row r="324" spans="19:21" x14ac:dyDescent="0.25">
      <c r="S324" s="11">
        <v>306</v>
      </c>
      <c r="T324" s="4">
        <v>463.04318582777029</v>
      </c>
      <c r="U324" s="7">
        <v>2.7216137745360092</v>
      </c>
    </row>
    <row r="325" spans="19:21" x14ac:dyDescent="0.25">
      <c r="S325" s="11">
        <v>307</v>
      </c>
      <c r="T325" s="4">
        <v>262.29090160810455</v>
      </c>
      <c r="U325" s="7">
        <v>1.1081088378725652</v>
      </c>
    </row>
    <row r="326" spans="19:21" x14ac:dyDescent="0.25">
      <c r="S326" s="11">
        <v>308</v>
      </c>
      <c r="T326" s="4">
        <v>185.46069829110979</v>
      </c>
      <c r="U326" s="7">
        <v>0.49060197951382256</v>
      </c>
    </row>
    <row r="327" spans="19:21" x14ac:dyDescent="0.25">
      <c r="S327" s="11">
        <v>309</v>
      </c>
      <c r="T327" s="4">
        <v>193.71984002298544</v>
      </c>
      <c r="U327" s="7">
        <v>0.55698312186935728</v>
      </c>
    </row>
    <row r="328" spans="19:21" x14ac:dyDescent="0.25">
      <c r="S328" s="11">
        <v>310</v>
      </c>
      <c r="T328" s="4">
        <v>167.01345138595448</v>
      </c>
      <c r="U328" s="7">
        <v>0.34233605036131243</v>
      </c>
    </row>
    <row r="329" spans="19:21" x14ac:dyDescent="0.25">
      <c r="S329" s="11">
        <v>311</v>
      </c>
      <c r="T329" s="4">
        <v>108.12967985792194</v>
      </c>
      <c r="U329" s="7">
        <v>-0.13093007669247758</v>
      </c>
    </row>
    <row r="330" spans="19:21" x14ac:dyDescent="0.25">
      <c r="S330" s="11">
        <v>312</v>
      </c>
      <c r="T330" s="4">
        <v>120.87944410005834</v>
      </c>
      <c r="U330" s="7">
        <v>-2.8456485291284861E-2</v>
      </c>
    </row>
    <row r="331" spans="19:21" x14ac:dyDescent="0.25">
      <c r="S331" s="11">
        <v>313</v>
      </c>
      <c r="T331" s="4">
        <v>260.62485441066792</v>
      </c>
      <c r="U331" s="7">
        <v>1.0947183283287889</v>
      </c>
    </row>
    <row r="332" spans="19:21" x14ac:dyDescent="0.25">
      <c r="S332" s="11">
        <v>314</v>
      </c>
      <c r="T332" s="4">
        <v>97.577608113949736</v>
      </c>
      <c r="U332" s="7">
        <v>-0.21574016947476504</v>
      </c>
    </row>
    <row r="333" spans="19:21" x14ac:dyDescent="0.25">
      <c r="S333" s="11">
        <v>315</v>
      </c>
      <c r="T333" s="4">
        <v>221.1819042466054</v>
      </c>
      <c r="U333" s="7">
        <v>0.77770377950976854</v>
      </c>
    </row>
    <row r="334" spans="19:21" x14ac:dyDescent="0.25">
      <c r="S334" s="11">
        <v>316</v>
      </c>
      <c r="T334" s="4">
        <v>279.71370254878184</v>
      </c>
      <c r="U334" s="7">
        <v>1.2481409946052229</v>
      </c>
    </row>
    <row r="335" spans="19:21" x14ac:dyDescent="0.25">
      <c r="S335" s="11">
        <v>317</v>
      </c>
      <c r="T335" s="4">
        <v>186.7577395374349</v>
      </c>
      <c r="U335" s="7">
        <v>0.50102668009512064</v>
      </c>
    </row>
    <row r="336" spans="19:21" x14ac:dyDescent="0.25">
      <c r="S336" s="11">
        <v>318</v>
      </c>
      <c r="T336" s="4">
        <v>102.30517303895968</v>
      </c>
      <c r="U336" s="7">
        <v>-0.17774334480823273</v>
      </c>
    </row>
    <row r="337" spans="19:21" x14ac:dyDescent="0.25">
      <c r="S337" s="11">
        <v>319</v>
      </c>
      <c r="T337" s="4">
        <v>312.46631781238943</v>
      </c>
      <c r="U337" s="7">
        <v>1.5113833612955268</v>
      </c>
    </row>
    <row r="338" spans="19:21" x14ac:dyDescent="0.25">
      <c r="S338" s="11">
        <v>320</v>
      </c>
      <c r="T338" s="4">
        <v>128.27280622931124</v>
      </c>
      <c r="U338" s="7">
        <v>3.0966132690172232E-2</v>
      </c>
    </row>
    <row r="339" spans="19:21" x14ac:dyDescent="0.25">
      <c r="S339" s="11">
        <v>321</v>
      </c>
      <c r="T339" s="4">
        <v>107.71874840498552</v>
      </c>
      <c r="U339" s="7">
        <v>-0.13423285319895906</v>
      </c>
    </row>
    <row r="340" spans="19:21" x14ac:dyDescent="0.25">
      <c r="S340" s="11">
        <v>322</v>
      </c>
      <c r="T340" s="4">
        <v>210.46535900925105</v>
      </c>
      <c r="U340" s="7">
        <v>0.69157176506390483</v>
      </c>
    </row>
    <row r="341" spans="19:21" x14ac:dyDescent="0.25">
      <c r="S341" s="11">
        <v>323</v>
      </c>
      <c r="T341" s="4">
        <v>113.49149683732956</v>
      </c>
      <c r="U341" s="7">
        <v>-8.7835582403716694E-2</v>
      </c>
    </row>
    <row r="342" spans="19:21" x14ac:dyDescent="0.25">
      <c r="S342" s="11">
        <v>324</v>
      </c>
      <c r="T342" s="4">
        <v>561.62906520993852</v>
      </c>
      <c r="U342" s="7">
        <v>3.5139773767074303</v>
      </c>
    </row>
    <row r="343" spans="19:21" x14ac:dyDescent="0.25">
      <c r="S343" s="11">
        <v>325</v>
      </c>
      <c r="T343" s="4">
        <v>378.25218305931298</v>
      </c>
      <c r="U343" s="7">
        <v>2.0401236381555456</v>
      </c>
    </row>
    <row r="344" spans="19:21" x14ac:dyDescent="0.25">
      <c r="S344" s="11">
        <v>326</v>
      </c>
      <c r="T344" s="4">
        <v>139.05018353030709</v>
      </c>
      <c r="U344" s="7">
        <v>0.11758707225773257</v>
      </c>
    </row>
    <row r="345" spans="19:21" x14ac:dyDescent="0.25">
      <c r="S345" s="11">
        <v>327</v>
      </c>
      <c r="T345" s="4">
        <v>107.89417238456686</v>
      </c>
      <c r="U345" s="7">
        <v>-0.13282291926887269</v>
      </c>
    </row>
    <row r="346" spans="19:21" x14ac:dyDescent="0.25">
      <c r="S346" s="11">
        <v>328</v>
      </c>
      <c r="T346" s="4">
        <v>139.89742616945631</v>
      </c>
      <c r="U346" s="7">
        <v>0.12439660962430721</v>
      </c>
    </row>
    <row r="347" spans="19:21" x14ac:dyDescent="0.25">
      <c r="S347" s="11">
        <v>329</v>
      </c>
      <c r="T347" s="4">
        <v>212.31396888362633</v>
      </c>
      <c r="U347" s="7">
        <v>0.70642958434034986</v>
      </c>
    </row>
    <row r="348" spans="19:21" x14ac:dyDescent="0.25">
      <c r="S348" s="11">
        <v>330</v>
      </c>
      <c r="T348" s="4">
        <v>217.53661519992482</v>
      </c>
      <c r="U348" s="7">
        <v>0.74840552322717269</v>
      </c>
    </row>
    <row r="349" spans="19:21" x14ac:dyDescent="0.25">
      <c r="S349" s="11">
        <v>331</v>
      </c>
      <c r="T349" s="4">
        <v>111.53756603723028</v>
      </c>
      <c r="U349" s="7">
        <v>-0.10353989682341846</v>
      </c>
    </row>
    <row r="350" spans="19:21" x14ac:dyDescent="0.25">
      <c r="S350" s="11">
        <v>332</v>
      </c>
      <c r="T350" s="4">
        <v>216.52530555956997</v>
      </c>
      <c r="U350" s="7">
        <v>0.74027733129376272</v>
      </c>
    </row>
    <row r="351" spans="19:21" x14ac:dyDescent="0.25">
      <c r="S351" s="11">
        <v>333</v>
      </c>
      <c r="T351" s="4">
        <v>113.06578644821165</v>
      </c>
      <c r="U351" s="7">
        <v>-9.1257141551103871E-2</v>
      </c>
    </row>
    <row r="352" spans="19:21" x14ac:dyDescent="0.25">
      <c r="S352" s="11">
        <v>334</v>
      </c>
      <c r="T352" s="4">
        <v>204.14060877071847</v>
      </c>
      <c r="U352" s="7">
        <v>0.64073789399387926</v>
      </c>
    </row>
    <row r="353" spans="19:21" x14ac:dyDescent="0.25">
      <c r="S353" s="11">
        <v>335</v>
      </c>
      <c r="T353" s="4">
        <v>202.49756883864509</v>
      </c>
      <c r="U353" s="7">
        <v>0.62753230058387</v>
      </c>
    </row>
    <row r="354" spans="19:21" x14ac:dyDescent="0.25">
      <c r="S354" s="11">
        <v>336</v>
      </c>
      <c r="T354" s="4">
        <v>429.49589173814843</v>
      </c>
      <c r="U354" s="7">
        <v>2.4519843412485809</v>
      </c>
    </row>
    <row r="355" spans="19:21" x14ac:dyDescent="0.25">
      <c r="S355" s="11">
        <v>337</v>
      </c>
      <c r="T355" s="4">
        <v>130.20841817482147</v>
      </c>
      <c r="U355" s="7">
        <v>4.6523213107390049E-2</v>
      </c>
    </row>
    <row r="356" spans="19:21" x14ac:dyDescent="0.25">
      <c r="S356" s="11">
        <v>338</v>
      </c>
      <c r="T356" s="4">
        <v>113.83839647373721</v>
      </c>
      <c r="U356" s="7">
        <v>-8.5047448370541678E-2</v>
      </c>
    </row>
    <row r="357" spans="19:21" x14ac:dyDescent="0.25">
      <c r="S357" s="11">
        <v>339</v>
      </c>
      <c r="T357" s="4">
        <v>152.40287941686418</v>
      </c>
      <c r="U357" s="7">
        <v>0.22490660196804524</v>
      </c>
    </row>
    <row r="358" spans="19:21" x14ac:dyDescent="0.25">
      <c r="S358" s="11">
        <v>340</v>
      </c>
      <c r="T358" s="4">
        <v>134.0920243056529</v>
      </c>
      <c r="U358" s="7">
        <v>7.7736893631674242E-2</v>
      </c>
    </row>
    <row r="359" spans="19:21" x14ac:dyDescent="0.25">
      <c r="S359" s="11">
        <v>341</v>
      </c>
      <c r="T359" s="4">
        <v>193.15707298159992</v>
      </c>
      <c r="U359" s="7">
        <v>0.55245999824465453</v>
      </c>
    </row>
    <row r="360" spans="19:21" x14ac:dyDescent="0.25">
      <c r="S360" s="11">
        <v>342</v>
      </c>
      <c r="T360" s="4">
        <v>89.781787373074408</v>
      </c>
      <c r="U360" s="7">
        <v>-0.27839746525418418</v>
      </c>
    </row>
    <row r="361" spans="19:21" x14ac:dyDescent="0.25">
      <c r="S361" s="11">
        <v>343</v>
      </c>
      <c r="T361" s="4">
        <v>133.33197682904367</v>
      </c>
      <c r="U361" s="7">
        <v>7.1628169338078029E-2</v>
      </c>
    </row>
    <row r="362" spans="19:21" x14ac:dyDescent="0.25">
      <c r="S362" s="11">
        <v>344</v>
      </c>
      <c r="T362" s="4">
        <v>136.14185021621941</v>
      </c>
      <c r="U362" s="7">
        <v>9.4211945155275645E-2</v>
      </c>
    </row>
    <row r="363" spans="19:21" x14ac:dyDescent="0.25">
      <c r="S363" s="11">
        <v>345</v>
      </c>
      <c r="T363" s="4">
        <v>122.03894545989358</v>
      </c>
      <c r="U363" s="7">
        <v>-1.9137233082353489E-2</v>
      </c>
    </row>
    <row r="364" spans="19:21" x14ac:dyDescent="0.25">
      <c r="S364" s="11">
        <v>346</v>
      </c>
      <c r="T364" s="4">
        <v>75.14302675942055</v>
      </c>
      <c r="U364" s="7">
        <v>-0.39605347404420066</v>
      </c>
    </row>
    <row r="365" spans="19:21" x14ac:dyDescent="0.25">
      <c r="S365" s="11">
        <v>347</v>
      </c>
      <c r="T365" s="4">
        <v>341.20157177927138</v>
      </c>
      <c r="U365" s="7">
        <v>1.7423370179976803</v>
      </c>
    </row>
    <row r="366" spans="19:21" x14ac:dyDescent="0.25">
      <c r="S366" s="11">
        <v>348</v>
      </c>
      <c r="T366" s="4">
        <v>210.03771984291512</v>
      </c>
      <c r="U366" s="7">
        <v>0.68813470376880814</v>
      </c>
    </row>
    <row r="367" spans="19:21" x14ac:dyDescent="0.25">
      <c r="S367" s="11">
        <v>349</v>
      </c>
      <c r="T367" s="4">
        <v>203.68336798690669</v>
      </c>
      <c r="U367" s="7">
        <v>0.63706291582468011</v>
      </c>
    </row>
    <row r="368" spans="19:21" x14ac:dyDescent="0.25">
      <c r="S368" s="11">
        <v>350</v>
      </c>
      <c r="T368" s="4">
        <v>199.88232684869524</v>
      </c>
      <c r="U368" s="7">
        <v>0.60651283434090364</v>
      </c>
    </row>
    <row r="369" spans="19:21" x14ac:dyDescent="0.25">
      <c r="S369" s="11">
        <v>351</v>
      </c>
      <c r="T369" s="4">
        <v>139.18619138745555</v>
      </c>
      <c r="U369" s="7">
        <v>0.1186802072613371</v>
      </c>
    </row>
    <row r="370" spans="19:21" x14ac:dyDescent="0.25">
      <c r="S370" s="11">
        <v>352</v>
      </c>
      <c r="T370" s="4">
        <v>152.50027972419076</v>
      </c>
      <c r="U370" s="7">
        <v>0.22568943678018605</v>
      </c>
    </row>
    <row r="371" spans="19:21" x14ac:dyDescent="0.25">
      <c r="S371" s="11">
        <v>353</v>
      </c>
      <c r="T371" s="4">
        <v>97.118034508236462</v>
      </c>
      <c r="U371" s="7">
        <v>-0.21943389721719608</v>
      </c>
    </row>
    <row r="372" spans="19:21" x14ac:dyDescent="0.25">
      <c r="S372" s="11">
        <v>354</v>
      </c>
      <c r="T372" s="4">
        <v>263.7424742039633</v>
      </c>
      <c r="U372" s="7">
        <v>1.1197755521938859</v>
      </c>
    </row>
    <row r="373" spans="19:21" x14ac:dyDescent="0.25">
      <c r="S373" s="11">
        <v>355</v>
      </c>
      <c r="T373" s="4">
        <v>126.48563542057083</v>
      </c>
      <c r="U373" s="7">
        <v>1.6602117188320387E-2</v>
      </c>
    </row>
    <row r="374" spans="19:21" x14ac:dyDescent="0.25">
      <c r="S374" s="11">
        <v>356</v>
      </c>
      <c r="T374" s="4">
        <v>147.91620441532464</v>
      </c>
      <c r="U374" s="7">
        <v>0.18884588020675652</v>
      </c>
    </row>
    <row r="375" spans="19:21" x14ac:dyDescent="0.25">
      <c r="S375" s="11">
        <v>357</v>
      </c>
      <c r="T375" s="4">
        <v>272.4978995615848</v>
      </c>
      <c r="U375" s="7">
        <v>1.190145471480347</v>
      </c>
    </row>
    <row r="376" spans="19:21" x14ac:dyDescent="0.25">
      <c r="S376" s="11">
        <v>358</v>
      </c>
      <c r="T376" s="4">
        <v>125.00446553224447</v>
      </c>
      <c r="U376" s="7">
        <v>4.6975207542554465E-3</v>
      </c>
    </row>
    <row r="377" spans="19:21" x14ac:dyDescent="0.25">
      <c r="S377" s="11">
        <v>359</v>
      </c>
      <c r="T377" s="4">
        <v>150.58446172479324</v>
      </c>
      <c r="U377" s="7">
        <v>0.21029144610828832</v>
      </c>
    </row>
    <row r="378" spans="19:21" x14ac:dyDescent="0.25">
      <c r="S378" s="11">
        <v>360</v>
      </c>
      <c r="T378" s="4">
        <v>331.84667977646643</v>
      </c>
      <c r="U378" s="7">
        <v>1.6671490096163515</v>
      </c>
    </row>
    <row r="379" spans="19:21" x14ac:dyDescent="0.25">
      <c r="S379" s="11">
        <v>361</v>
      </c>
      <c r="T379" s="4">
        <v>185.40185800450078</v>
      </c>
      <c r="U379" s="7">
        <v>0.49012906288780567</v>
      </c>
    </row>
    <row r="380" spans="19:21" x14ac:dyDescent="0.25">
      <c r="S380" s="11">
        <v>362</v>
      </c>
      <c r="T380" s="4">
        <v>87.171241449168193</v>
      </c>
      <c r="U380" s="7">
        <v>-0.29937918783822381</v>
      </c>
    </row>
    <row r="381" spans="19:21" x14ac:dyDescent="0.25">
      <c r="S381" s="11">
        <v>363</v>
      </c>
      <c r="T381" s="4">
        <v>78.725673201816562</v>
      </c>
      <c r="U381" s="7">
        <v>-0.36725869472901007</v>
      </c>
    </row>
    <row r="382" spans="19:21" x14ac:dyDescent="0.25">
      <c r="S382" s="11">
        <v>364</v>
      </c>
      <c r="T382" s="4">
        <v>238.77216696496421</v>
      </c>
      <c r="U382" s="7">
        <v>0.91908187562260246</v>
      </c>
    </row>
    <row r="383" spans="19:21" x14ac:dyDescent="0.25">
      <c r="S383" s="11">
        <v>365</v>
      </c>
      <c r="T383" s="4">
        <v>122.94642955282481</v>
      </c>
      <c r="U383" s="7">
        <v>-1.1843517498595024E-2</v>
      </c>
    </row>
    <row r="384" spans="19:21" x14ac:dyDescent="0.25">
      <c r="S384" s="11">
        <v>366</v>
      </c>
      <c r="T384" s="4">
        <v>332.78686480341702</v>
      </c>
      <c r="U384" s="7">
        <v>1.6747055521894954</v>
      </c>
    </row>
    <row r="385" spans="19:21" x14ac:dyDescent="0.25">
      <c r="S385" s="11">
        <v>367</v>
      </c>
      <c r="T385" s="4">
        <v>158.47997701728374</v>
      </c>
      <c r="U385" s="7">
        <v>0.27375001621350048</v>
      </c>
    </row>
    <row r="386" spans="19:21" x14ac:dyDescent="0.25">
      <c r="S386" s="11">
        <v>368</v>
      </c>
      <c r="T386" s="4">
        <v>185.4966902773989</v>
      </c>
      <c r="U386" s="7">
        <v>0.49089125765470909</v>
      </c>
    </row>
    <row r="387" spans="19:21" x14ac:dyDescent="0.25">
      <c r="S387" s="11">
        <v>369</v>
      </c>
      <c r="T387" s="4">
        <v>309.70842232415907</v>
      </c>
      <c r="U387" s="7">
        <v>1.4892173470837413</v>
      </c>
    </row>
    <row r="388" spans="19:21" x14ac:dyDescent="0.25">
      <c r="S388" s="11">
        <v>370</v>
      </c>
      <c r="T388" s="4">
        <v>237.52391156012649</v>
      </c>
      <c r="U388" s="7">
        <v>0.90904928114552708</v>
      </c>
    </row>
    <row r="389" spans="19:21" x14ac:dyDescent="0.25">
      <c r="S389" s="11">
        <v>371</v>
      </c>
      <c r="T389" s="4">
        <v>260.84071744543809</v>
      </c>
      <c r="U389" s="7">
        <v>1.0964532827956766</v>
      </c>
    </row>
    <row r="390" spans="19:21" x14ac:dyDescent="0.25">
      <c r="S390" s="11">
        <v>372</v>
      </c>
      <c r="T390" s="4">
        <v>335.55994954380429</v>
      </c>
      <c r="U390" s="7">
        <v>1.69699364687192</v>
      </c>
    </row>
    <row r="391" spans="19:21" x14ac:dyDescent="0.25">
      <c r="S391" s="11">
        <v>373</v>
      </c>
      <c r="T391" s="4">
        <v>227.50598119759204</v>
      </c>
      <c r="U391" s="7">
        <v>0.82853223917048724</v>
      </c>
    </row>
    <row r="392" spans="19:21" x14ac:dyDescent="0.25">
      <c r="S392" s="11">
        <v>374</v>
      </c>
      <c r="T392" s="4">
        <v>150.66094346763538</v>
      </c>
      <c r="U392" s="7">
        <v>0.21090615228769782</v>
      </c>
    </row>
    <row r="393" spans="19:21" x14ac:dyDescent="0.25">
      <c r="S393" s="11">
        <v>375</v>
      </c>
      <c r="T393" s="4">
        <v>144.29742023854783</v>
      </c>
      <c r="U393" s="7">
        <v>0.1597606513305565</v>
      </c>
    </row>
    <row r="394" spans="19:21" x14ac:dyDescent="0.25">
      <c r="S394" s="11">
        <v>376</v>
      </c>
      <c r="T394" s="4">
        <v>321.22770151526737</v>
      </c>
      <c r="U394" s="7">
        <v>1.5818011695488456</v>
      </c>
    </row>
    <row r="395" spans="19:21" x14ac:dyDescent="0.25">
      <c r="S395" s="11">
        <v>377</v>
      </c>
      <c r="T395" s="4">
        <v>98.265523266701734</v>
      </c>
      <c r="U395" s="7">
        <v>-0.21021119380564435</v>
      </c>
    </row>
    <row r="396" spans="19:21" x14ac:dyDescent="0.25">
      <c r="S396" s="11">
        <v>378</v>
      </c>
      <c r="T396" s="4">
        <v>225.68621179345431</v>
      </c>
      <c r="U396" s="7">
        <v>0.81390621920474437</v>
      </c>
    </row>
    <row r="397" spans="19:21" x14ac:dyDescent="0.25">
      <c r="S397" s="11">
        <v>379</v>
      </c>
      <c r="T397" s="4">
        <v>286.39847272165946</v>
      </c>
      <c r="U397" s="7">
        <v>1.3018684513877146</v>
      </c>
    </row>
    <row r="398" spans="19:21" x14ac:dyDescent="0.25">
      <c r="S398" s="11">
        <v>380</v>
      </c>
      <c r="T398" s="4">
        <v>162.12662123937034</v>
      </c>
      <c r="U398" s="7">
        <v>0.30305916443795478</v>
      </c>
    </row>
    <row r="399" spans="19:21" x14ac:dyDescent="0.25">
      <c r="S399" s="11">
        <v>381</v>
      </c>
      <c r="T399" s="4">
        <v>217.46635137363933</v>
      </c>
      <c r="U399" s="7">
        <v>0.74784079226522526</v>
      </c>
    </row>
    <row r="400" spans="19:21" x14ac:dyDescent="0.25">
      <c r="S400" s="11">
        <v>382</v>
      </c>
      <c r="T400" s="4">
        <v>203.29161401098702</v>
      </c>
      <c r="U400" s="7">
        <v>0.63391427432074443</v>
      </c>
    </row>
    <row r="401" spans="19:21" x14ac:dyDescent="0.25">
      <c r="S401" s="11">
        <v>383</v>
      </c>
      <c r="T401" s="4">
        <v>148.59285506519646</v>
      </c>
      <c r="U401" s="7">
        <v>0.1942843197652826</v>
      </c>
    </row>
    <row r="402" spans="19:21" x14ac:dyDescent="0.25">
      <c r="S402" s="11">
        <v>384</v>
      </c>
      <c r="T402" s="4">
        <v>225.82419934173092</v>
      </c>
      <c r="U402" s="7">
        <v>0.81501526556607384</v>
      </c>
    </row>
    <row r="403" spans="19:21" x14ac:dyDescent="0.25">
      <c r="S403" s="11">
        <v>385</v>
      </c>
      <c r="T403" s="4">
        <v>109.91569016095582</v>
      </c>
      <c r="U403" s="7">
        <v>-0.11657538851506333</v>
      </c>
    </row>
    <row r="404" spans="19:21" x14ac:dyDescent="0.25">
      <c r="S404" s="11">
        <v>386</v>
      </c>
      <c r="T404" s="4">
        <v>105.2755372602919</v>
      </c>
      <c r="U404" s="7">
        <v>-0.15386965712673284</v>
      </c>
    </row>
    <row r="405" spans="19:21" x14ac:dyDescent="0.25">
      <c r="S405" s="11">
        <v>387</v>
      </c>
      <c r="T405" s="4">
        <v>229.12942571241626</v>
      </c>
      <c r="U405" s="7">
        <v>0.84158033846983016</v>
      </c>
    </row>
    <row r="406" spans="19:21" x14ac:dyDescent="0.25">
      <c r="S406" s="11">
        <v>388</v>
      </c>
      <c r="T406" s="4">
        <v>146.15613902483307</v>
      </c>
      <c r="U406" s="7">
        <v>0.17469971889433422</v>
      </c>
    </row>
    <row r="407" spans="19:21" x14ac:dyDescent="0.25">
      <c r="S407" s="11">
        <v>389</v>
      </c>
      <c r="T407" s="4">
        <v>106.70183070179517</v>
      </c>
      <c r="U407" s="7">
        <v>-0.14240611877676279</v>
      </c>
    </row>
    <row r="408" spans="19:21" x14ac:dyDescent="0.25">
      <c r="S408" s="11">
        <v>390</v>
      </c>
      <c r="T408" s="4">
        <v>198.83426261805883</v>
      </c>
      <c r="U408" s="7">
        <v>0.59808923499484679</v>
      </c>
    </row>
    <row r="409" spans="19:21" x14ac:dyDescent="0.25">
      <c r="S409" s="11">
        <v>391</v>
      </c>
      <c r="T409" s="4">
        <v>186.63054470214675</v>
      </c>
      <c r="U409" s="7">
        <v>0.50000437793077279</v>
      </c>
    </row>
    <row r="410" spans="19:21" x14ac:dyDescent="0.25">
      <c r="S410" s="11">
        <v>392</v>
      </c>
      <c r="T410" s="4">
        <v>319.91902498587604</v>
      </c>
      <c r="U410" s="7">
        <v>1.5712829527879442</v>
      </c>
    </row>
    <row r="411" spans="19:21" x14ac:dyDescent="0.25">
      <c r="S411" s="11">
        <v>393</v>
      </c>
      <c r="T411" s="4">
        <v>112.8445641592068</v>
      </c>
      <c r="U411" s="7">
        <v>-9.3035169914750027E-2</v>
      </c>
    </row>
    <row r="412" spans="19:21" x14ac:dyDescent="0.25">
      <c r="S412" s="11">
        <v>394</v>
      </c>
      <c r="T412" s="4">
        <v>160.33457143907344</v>
      </c>
      <c r="U412" s="7">
        <v>0.28865593505122522</v>
      </c>
    </row>
    <row r="413" spans="19:21" x14ac:dyDescent="0.25">
      <c r="S413" s="11">
        <v>395</v>
      </c>
      <c r="T413" s="4">
        <v>85.517877553357778</v>
      </c>
      <c r="U413" s="7">
        <v>-0.31266775797011914</v>
      </c>
    </row>
    <row r="414" spans="19:21" x14ac:dyDescent="0.25">
      <c r="S414" s="11">
        <v>396</v>
      </c>
      <c r="T414" s="4">
        <v>244.43878127602807</v>
      </c>
      <c r="U414" s="7">
        <v>0.96462611538360443</v>
      </c>
    </row>
    <row r="415" spans="19:21" x14ac:dyDescent="0.25">
      <c r="S415" s="11">
        <v>397</v>
      </c>
      <c r="T415" s="4">
        <v>380.33932558628311</v>
      </c>
      <c r="U415" s="7">
        <v>2.0568986142604331</v>
      </c>
    </row>
    <row r="416" spans="19:21" x14ac:dyDescent="0.25">
      <c r="S416" s="11">
        <v>398</v>
      </c>
      <c r="T416" s="4">
        <v>174.77895305365811</v>
      </c>
      <c r="U416" s="7">
        <v>0.40474966286495828</v>
      </c>
    </row>
    <row r="417" spans="19:21" x14ac:dyDescent="0.25">
      <c r="S417" s="11">
        <v>399</v>
      </c>
      <c r="T417" s="4">
        <v>69.1655296378364</v>
      </c>
      <c r="U417" s="7">
        <v>-0.44409637005436109</v>
      </c>
    </row>
    <row r="418" spans="19:21" x14ac:dyDescent="0.25">
      <c r="S418" s="11">
        <v>400</v>
      </c>
      <c r="T418" s="4">
        <v>158.3889321348523</v>
      </c>
      <c r="U418" s="7">
        <v>0.27301826181363364</v>
      </c>
    </row>
    <row r="419" spans="19:21" x14ac:dyDescent="0.25">
      <c r="S419" s="11">
        <v>401</v>
      </c>
      <c r="T419" s="4">
        <v>329.82996393264517</v>
      </c>
      <c r="U419" s="7">
        <v>1.6509400734017454</v>
      </c>
    </row>
    <row r="420" spans="19:21" x14ac:dyDescent="0.25">
      <c r="S420" s="11">
        <v>402</v>
      </c>
      <c r="T420" s="4">
        <v>196.56620380180541</v>
      </c>
      <c r="U420" s="7">
        <v>0.57986018165733322</v>
      </c>
    </row>
    <row r="421" spans="19:21" x14ac:dyDescent="0.25">
      <c r="S421" s="11">
        <v>403</v>
      </c>
      <c r="T421" s="4">
        <v>136.0599821295211</v>
      </c>
      <c r="U421" s="7">
        <v>9.3553947351881606E-2</v>
      </c>
    </row>
    <row r="422" spans="19:21" x14ac:dyDescent="0.25">
      <c r="S422" s="11">
        <v>404</v>
      </c>
      <c r="T422" s="4">
        <v>276.84699099555422</v>
      </c>
      <c r="U422" s="7">
        <v>1.2251003937916267</v>
      </c>
    </row>
    <row r="423" spans="19:21" x14ac:dyDescent="0.25">
      <c r="S423" s="11">
        <v>405</v>
      </c>
      <c r="T423" s="4">
        <v>105.19871588535581</v>
      </c>
      <c r="U423" s="7">
        <v>-0.15448709302880714</v>
      </c>
    </row>
    <row r="424" spans="19:21" x14ac:dyDescent="0.25">
      <c r="S424" s="11">
        <v>406</v>
      </c>
      <c r="T424" s="4">
        <v>122.63848642372466</v>
      </c>
      <c r="U424" s="7">
        <v>-1.4318546666736376E-2</v>
      </c>
    </row>
    <row r="425" spans="19:21" x14ac:dyDescent="0.25">
      <c r="S425" s="11">
        <v>407</v>
      </c>
      <c r="T425" s="4">
        <v>75.334741572071295</v>
      </c>
      <c r="U425" s="7">
        <v>-0.39451260591487469</v>
      </c>
    </row>
    <row r="426" spans="19:21" x14ac:dyDescent="0.25">
      <c r="S426" s="11">
        <v>408</v>
      </c>
      <c r="T426" s="4">
        <v>204.39276359082601</v>
      </c>
      <c r="U426" s="7">
        <v>0.64276453617445761</v>
      </c>
    </row>
    <row r="427" spans="19:21" x14ac:dyDescent="0.25">
      <c r="S427" s="11">
        <v>409</v>
      </c>
      <c r="T427" s="4">
        <v>164.68562092516584</v>
      </c>
      <c r="U427" s="7">
        <v>0.32362659480120426</v>
      </c>
    </row>
    <row r="428" spans="19:21" x14ac:dyDescent="0.25">
      <c r="S428" s="11">
        <v>410</v>
      </c>
      <c r="T428" s="4">
        <v>488.5665810450198</v>
      </c>
      <c r="U428" s="7">
        <v>2.926752781265229</v>
      </c>
    </row>
    <row r="429" spans="19:21" x14ac:dyDescent="0.25">
      <c r="S429" s="11">
        <v>411</v>
      </c>
      <c r="T429" s="4">
        <v>107.28761924673789</v>
      </c>
      <c r="U429" s="7">
        <v>-0.1376979645817562</v>
      </c>
    </row>
    <row r="430" spans="19:21" x14ac:dyDescent="0.25">
      <c r="S430" s="11">
        <v>412</v>
      </c>
      <c r="T430" s="4">
        <v>100.3381841684951</v>
      </c>
      <c r="U430" s="7">
        <v>-0.19355261076599339</v>
      </c>
    </row>
    <row r="431" spans="19:21" x14ac:dyDescent="0.25">
      <c r="S431" s="11">
        <v>413</v>
      </c>
      <c r="T431" s="4">
        <v>158.45290395143599</v>
      </c>
      <c r="U431" s="7">
        <v>0.273532422049799</v>
      </c>
    </row>
    <row r="432" spans="19:21" x14ac:dyDescent="0.25">
      <c r="S432" s="11">
        <v>414</v>
      </c>
      <c r="T432" s="4">
        <v>189.70151775802111</v>
      </c>
      <c r="U432" s="7">
        <v>0.52468668829787091</v>
      </c>
    </row>
    <row r="433" spans="19:21" x14ac:dyDescent="0.25">
      <c r="S433" s="11">
        <v>415</v>
      </c>
      <c r="T433" s="4">
        <v>219.00448139134795</v>
      </c>
      <c r="U433" s="7">
        <v>0.76020319395071501</v>
      </c>
    </row>
    <row r="434" spans="19:21" x14ac:dyDescent="0.25">
      <c r="S434" s="11">
        <v>416</v>
      </c>
      <c r="T434" s="4">
        <v>412.00480409799047</v>
      </c>
      <c r="U434" s="7">
        <v>2.3114033443014828</v>
      </c>
    </row>
    <row r="435" spans="19:21" x14ac:dyDescent="0.25">
      <c r="S435" s="11">
        <v>417</v>
      </c>
      <c r="T435" s="4">
        <v>91.553826611696607</v>
      </c>
      <c r="U435" s="7">
        <v>-0.26415506661552313</v>
      </c>
    </row>
    <row r="436" spans="19:21" x14ac:dyDescent="0.25">
      <c r="S436" s="11">
        <v>418</v>
      </c>
      <c r="T436" s="4">
        <v>259.99811204252097</v>
      </c>
      <c r="U436" s="7">
        <v>1.0896810162555939</v>
      </c>
    </row>
    <row r="437" spans="19:21" x14ac:dyDescent="0.25">
      <c r="S437" s="11">
        <v>419</v>
      </c>
      <c r="T437" s="4">
        <v>173.41674633584697</v>
      </c>
      <c r="U437" s="7">
        <v>0.39380120829325649</v>
      </c>
    </row>
    <row r="438" spans="19:21" x14ac:dyDescent="0.25">
      <c r="S438" s="11">
        <v>420</v>
      </c>
      <c r="T438" s="4">
        <v>147.50026915302092</v>
      </c>
      <c r="U438" s="7">
        <v>0.18550288661807524</v>
      </c>
    </row>
    <row r="439" spans="19:21" x14ac:dyDescent="0.25">
      <c r="S439" s="11">
        <v>421</v>
      </c>
      <c r="T439" s="4">
        <v>153.01762683506166</v>
      </c>
      <c r="U439" s="7">
        <v>0.22984750711349999</v>
      </c>
    </row>
    <row r="440" spans="19:21" x14ac:dyDescent="0.25">
      <c r="S440" s="11">
        <v>422</v>
      </c>
      <c r="T440" s="4">
        <v>258.36244502334608</v>
      </c>
      <c r="U440" s="7">
        <v>1.0765346811071055</v>
      </c>
    </row>
    <row r="441" spans="19:21" x14ac:dyDescent="0.25">
      <c r="S441" s="11">
        <v>423</v>
      </c>
      <c r="T441" s="4">
        <v>144.16550370778998</v>
      </c>
      <c r="U441" s="7">
        <v>0.15870039951607451</v>
      </c>
    </row>
    <row r="442" spans="19:21" x14ac:dyDescent="0.25">
      <c r="S442" s="11">
        <v>424</v>
      </c>
      <c r="T442" s="4">
        <v>107.21002235109425</v>
      </c>
      <c r="U442" s="7">
        <v>-0.13832163357101546</v>
      </c>
    </row>
    <row r="443" spans="19:21" x14ac:dyDescent="0.25">
      <c r="S443" s="11">
        <v>425</v>
      </c>
      <c r="T443" s="4">
        <v>91.3952483451598</v>
      </c>
      <c r="U443" s="7">
        <v>-0.26542960661340786</v>
      </c>
    </row>
    <row r="444" spans="19:21" x14ac:dyDescent="0.25">
      <c r="S444" s="11">
        <v>426</v>
      </c>
      <c r="T444" s="4">
        <v>168.07324518528208</v>
      </c>
      <c r="U444" s="7">
        <v>0.35085392368816959</v>
      </c>
    </row>
    <row r="445" spans="19:21" x14ac:dyDescent="0.25">
      <c r="S445" s="11">
        <v>427</v>
      </c>
      <c r="T445" s="4">
        <v>148.23553348295832</v>
      </c>
      <c r="U445" s="7">
        <v>0.19141242149942395</v>
      </c>
    </row>
    <row r="446" spans="19:21" x14ac:dyDescent="0.25">
      <c r="S446" s="11">
        <v>428</v>
      </c>
      <c r="T446" s="4">
        <v>202.84242018412519</v>
      </c>
      <c r="U446" s="7">
        <v>0.63030397190262977</v>
      </c>
    </row>
    <row r="447" spans="19:21" x14ac:dyDescent="0.25">
      <c r="S447" s="11">
        <v>429</v>
      </c>
      <c r="T447" s="4">
        <v>299.10614846985072</v>
      </c>
      <c r="U447" s="7">
        <v>1.4040037652294703</v>
      </c>
    </row>
    <row r="448" spans="19:21" x14ac:dyDescent="0.25">
      <c r="S448" s="11">
        <v>430</v>
      </c>
      <c r="T448" s="4">
        <v>195.29593807283678</v>
      </c>
      <c r="U448" s="7">
        <v>0.5696506837553188</v>
      </c>
    </row>
    <row r="449" spans="19:21" x14ac:dyDescent="0.25">
      <c r="S449" s="11">
        <v>431</v>
      </c>
      <c r="T449" s="4">
        <v>155.56322206202168</v>
      </c>
      <c r="U449" s="7">
        <v>0.25030720191304989</v>
      </c>
    </row>
    <row r="450" spans="19:21" x14ac:dyDescent="0.25">
      <c r="S450" s="11">
        <v>432</v>
      </c>
      <c r="T450" s="4">
        <v>93.404399474020252</v>
      </c>
      <c r="U450" s="7">
        <v>-0.24928147022970382</v>
      </c>
    </row>
    <row r="451" spans="19:21" x14ac:dyDescent="0.25">
      <c r="S451" s="11">
        <v>433</v>
      </c>
      <c r="T451" s="4">
        <v>251.27149413565749</v>
      </c>
      <c r="U451" s="7">
        <v>1.0195426308926017</v>
      </c>
    </row>
    <row r="452" spans="19:21" x14ac:dyDescent="0.25">
      <c r="S452" s="11">
        <v>434</v>
      </c>
      <c r="T452" s="4">
        <v>284.68644011276109</v>
      </c>
      <c r="U452" s="7">
        <v>1.2881083436164693</v>
      </c>
    </row>
    <row r="453" spans="19:21" x14ac:dyDescent="0.25">
      <c r="S453" s="11">
        <v>435</v>
      </c>
      <c r="T453" s="4">
        <v>81.776453033710112</v>
      </c>
      <c r="U453" s="7">
        <v>-0.34273868322046208</v>
      </c>
    </row>
    <row r="454" spans="19:21" x14ac:dyDescent="0.25">
      <c r="S454" s="11">
        <v>436</v>
      </c>
      <c r="T454" s="4">
        <v>205.08083095550359</v>
      </c>
      <c r="U454" s="7">
        <v>0.64829473521542824</v>
      </c>
    </row>
    <row r="455" spans="19:21" x14ac:dyDescent="0.25">
      <c r="S455" s="11">
        <v>437</v>
      </c>
      <c r="T455" s="4">
        <v>353.81330590316412</v>
      </c>
      <c r="U455" s="7">
        <v>1.8437012208902437</v>
      </c>
    </row>
    <row r="456" spans="19:21" x14ac:dyDescent="0.25">
      <c r="S456" s="11">
        <v>438</v>
      </c>
      <c r="T456" s="4">
        <v>170.30974026446452</v>
      </c>
      <c r="U456" s="7">
        <v>0.36882929002141562</v>
      </c>
    </row>
    <row r="457" spans="19:21" x14ac:dyDescent="0.25">
      <c r="S457" s="11">
        <v>439</v>
      </c>
      <c r="T457" s="4">
        <v>271.34558745258897</v>
      </c>
      <c r="U457" s="7">
        <v>1.180884001387148</v>
      </c>
    </row>
    <row r="458" spans="19:21" x14ac:dyDescent="0.25">
      <c r="S458" s="11">
        <v>440</v>
      </c>
      <c r="T458" s="4">
        <v>204.56909512923974</v>
      </c>
      <c r="U458" s="7">
        <v>0.64418176442083053</v>
      </c>
    </row>
    <row r="459" spans="19:21" x14ac:dyDescent="0.25">
      <c r="S459" s="11">
        <v>441</v>
      </c>
      <c r="T459" s="4">
        <v>337.5490961246839</v>
      </c>
      <c r="U459" s="7">
        <v>1.7129810008413751</v>
      </c>
    </row>
    <row r="460" spans="19:21" x14ac:dyDescent="0.25">
      <c r="S460" s="11">
        <v>442</v>
      </c>
      <c r="T460" s="4">
        <v>285.16185460302222</v>
      </c>
      <c r="U460" s="7">
        <v>1.2919293891900194</v>
      </c>
    </row>
    <row r="461" spans="19:21" x14ac:dyDescent="0.25">
      <c r="S461" s="11">
        <v>443</v>
      </c>
      <c r="T461" s="4">
        <v>79.541589224650423</v>
      </c>
      <c r="U461" s="7">
        <v>-0.36070093855770435</v>
      </c>
    </row>
    <row r="462" spans="19:21" x14ac:dyDescent="0.25">
      <c r="S462" s="11">
        <v>444</v>
      </c>
      <c r="T462" s="4">
        <v>177.76937839626805</v>
      </c>
      <c r="U462" s="7">
        <v>0.42878458765687233</v>
      </c>
    </row>
    <row r="463" spans="19:21" x14ac:dyDescent="0.25">
      <c r="S463" s="11">
        <v>445</v>
      </c>
      <c r="T463" s="4">
        <v>230.10032305362446</v>
      </c>
      <c r="U463" s="7">
        <v>0.84938372491259018</v>
      </c>
    </row>
    <row r="464" spans="19:21" x14ac:dyDescent="0.25">
      <c r="S464" s="11">
        <v>446</v>
      </c>
      <c r="T464" s="4">
        <v>245.77845331717037</v>
      </c>
      <c r="U464" s="7">
        <v>0.97539345215536377</v>
      </c>
    </row>
    <row r="465" spans="19:21" x14ac:dyDescent="0.25">
      <c r="S465" s="11">
        <v>447</v>
      </c>
      <c r="T465" s="4">
        <v>132.37435178886648</v>
      </c>
      <c r="U465" s="7">
        <v>6.393145626801533E-2</v>
      </c>
    </row>
    <row r="466" spans="19:21" x14ac:dyDescent="0.25">
      <c r="S466" s="11">
        <v>448</v>
      </c>
      <c r="T466" s="4">
        <v>424.76273244188752</v>
      </c>
      <c r="U466" s="7">
        <v>2.4139425529809317</v>
      </c>
    </row>
    <row r="467" spans="19:21" x14ac:dyDescent="0.25">
      <c r="S467" s="11">
        <v>449</v>
      </c>
      <c r="T467" s="4">
        <v>76.181831529446427</v>
      </c>
      <c r="U467" s="7">
        <v>-0.38770429569646014</v>
      </c>
    </row>
    <row r="468" spans="19:21" x14ac:dyDescent="0.25">
      <c r="S468" s="11">
        <v>450</v>
      </c>
      <c r="T468" s="4">
        <v>102.47726528382691</v>
      </c>
      <c r="U468" s="7">
        <v>-0.17636018900637429</v>
      </c>
    </row>
    <row r="469" spans="19:21" x14ac:dyDescent="0.25">
      <c r="S469" s="11">
        <v>451</v>
      </c>
      <c r="T469" s="4">
        <v>215.58801729762212</v>
      </c>
      <c r="U469" s="7">
        <v>0.73274407086981275</v>
      </c>
    </row>
    <row r="470" spans="19:21" x14ac:dyDescent="0.25">
      <c r="S470" s="11">
        <v>452</v>
      </c>
      <c r="T470" s="4">
        <v>153.49151877586505</v>
      </c>
      <c r="U470" s="7">
        <v>0.23365631551089083</v>
      </c>
    </row>
    <row r="471" spans="19:21" x14ac:dyDescent="0.25">
      <c r="S471" s="11">
        <v>453</v>
      </c>
      <c r="T471" s="4">
        <v>72.075939792009763</v>
      </c>
      <c r="U471" s="7">
        <v>-0.42070455077953894</v>
      </c>
    </row>
    <row r="472" spans="19:21" x14ac:dyDescent="0.25">
      <c r="S472" s="11">
        <v>454</v>
      </c>
      <c r="T472" s="4">
        <v>319.33659664315013</v>
      </c>
      <c r="U472" s="7">
        <v>1.566601805522827</v>
      </c>
    </row>
    <row r="473" spans="19:21" x14ac:dyDescent="0.25">
      <c r="S473" s="11">
        <v>455</v>
      </c>
      <c r="T473" s="4">
        <v>83.465784834640274</v>
      </c>
      <c r="U473" s="7">
        <v>-0.3291610284950951</v>
      </c>
    </row>
    <row r="474" spans="19:21" x14ac:dyDescent="0.25">
      <c r="S474" s="11">
        <v>456</v>
      </c>
      <c r="T474" s="4">
        <v>208.57663753295867</v>
      </c>
      <c r="U474" s="7">
        <v>0.67639155708856036</v>
      </c>
    </row>
    <row r="475" spans="19:21" x14ac:dyDescent="0.25">
      <c r="S475" s="11">
        <v>457</v>
      </c>
      <c r="T475" s="4">
        <v>113.57210770162591</v>
      </c>
      <c r="U475" s="7">
        <v>-8.7187689265183166E-2</v>
      </c>
    </row>
    <row r="476" spans="19:21" x14ac:dyDescent="0.25">
      <c r="S476" s="11">
        <v>458</v>
      </c>
      <c r="T476" s="4">
        <v>303.41929919287003</v>
      </c>
      <c r="U476" s="7">
        <v>1.4386698215147886</v>
      </c>
    </row>
    <row r="477" spans="19:21" x14ac:dyDescent="0.25">
      <c r="S477" s="11">
        <v>459</v>
      </c>
      <c r="T477" s="4">
        <v>232.11264848509234</v>
      </c>
      <c r="U477" s="7">
        <v>0.86555737409654654</v>
      </c>
    </row>
    <row r="478" spans="19:21" x14ac:dyDescent="0.25">
      <c r="S478" s="11">
        <v>460</v>
      </c>
      <c r="T478" s="4">
        <v>140.85394168735144</v>
      </c>
      <c r="U478" s="7">
        <v>0.13208440513865494</v>
      </c>
    </row>
    <row r="479" spans="19:21" x14ac:dyDescent="0.25">
      <c r="S479" s="11">
        <v>461</v>
      </c>
      <c r="T479" s="4">
        <v>144.98943983466427</v>
      </c>
      <c r="U479" s="7">
        <v>0.16532261561376194</v>
      </c>
    </row>
    <row r="480" spans="19:21" x14ac:dyDescent="0.25">
      <c r="S480" s="11">
        <v>462</v>
      </c>
      <c r="T480" s="4">
        <v>159.76352582766228</v>
      </c>
      <c r="U480" s="7">
        <v>0.28406627413327667</v>
      </c>
    </row>
    <row r="481" spans="19:21" x14ac:dyDescent="0.25">
      <c r="S481" s="11">
        <v>463</v>
      </c>
      <c r="T481" s="4">
        <v>168.35239263443984</v>
      </c>
      <c r="U481" s="7">
        <v>0.35309751353833652</v>
      </c>
    </row>
    <row r="482" spans="19:21" x14ac:dyDescent="0.25">
      <c r="S482" s="11">
        <v>464</v>
      </c>
      <c r="T482" s="4">
        <v>162.97083107699839</v>
      </c>
      <c r="U482" s="7">
        <v>0.3098443262899726</v>
      </c>
    </row>
    <row r="483" spans="19:21" x14ac:dyDescent="0.25">
      <c r="S483" s="11">
        <v>465</v>
      </c>
      <c r="T483" s="4">
        <v>154.84954089800462</v>
      </c>
      <c r="U483" s="7">
        <v>0.24457113726092761</v>
      </c>
    </row>
    <row r="484" spans="19:21" x14ac:dyDescent="0.25">
      <c r="S484" s="11">
        <v>466</v>
      </c>
      <c r="T484" s="4">
        <v>207.60494563411552</v>
      </c>
      <c r="U484" s="7">
        <v>0.66858178455325135</v>
      </c>
    </row>
    <row r="485" spans="19:21" x14ac:dyDescent="0.25">
      <c r="S485" s="11">
        <v>467</v>
      </c>
      <c r="T485" s="4">
        <v>218.52008458901921</v>
      </c>
      <c r="U485" s="7">
        <v>0.75630995490290309</v>
      </c>
    </row>
    <row r="486" spans="19:21" x14ac:dyDescent="0.25">
      <c r="S486" s="11">
        <v>468</v>
      </c>
      <c r="T486" s="4">
        <v>165.82871515343018</v>
      </c>
      <c r="U486" s="7">
        <v>0.3328139780857593</v>
      </c>
    </row>
    <row r="487" spans="19:21" x14ac:dyDescent="0.25">
      <c r="S487" s="11">
        <v>469</v>
      </c>
      <c r="T487" s="4">
        <v>145.00418575680206</v>
      </c>
      <c r="U487" s="7">
        <v>0.16544113291112406</v>
      </c>
    </row>
    <row r="488" spans="19:21" x14ac:dyDescent="0.25">
      <c r="S488" s="11">
        <v>470</v>
      </c>
      <c r="T488" s="4">
        <v>332.876382877384</v>
      </c>
      <c r="U488" s="7">
        <v>1.6754250351823181</v>
      </c>
    </row>
    <row r="489" spans="19:21" x14ac:dyDescent="0.25">
      <c r="S489" s="11">
        <v>471</v>
      </c>
      <c r="T489" s="4">
        <v>110.57716021426683</v>
      </c>
      <c r="U489" s="7">
        <v>-0.11125895985961398</v>
      </c>
    </row>
    <row r="490" spans="19:21" x14ac:dyDescent="0.25">
      <c r="S490" s="11">
        <v>472</v>
      </c>
      <c r="T490" s="4">
        <v>129.85066287914921</v>
      </c>
      <c r="U490" s="7">
        <v>4.3647828959566093E-2</v>
      </c>
    </row>
    <row r="491" spans="19:21" x14ac:dyDescent="0.25">
      <c r="S491" s="11">
        <v>473</v>
      </c>
      <c r="T491" s="4">
        <v>165.98592299855153</v>
      </c>
      <c r="U491" s="7">
        <v>0.33407750360513999</v>
      </c>
    </row>
    <row r="492" spans="19:21" x14ac:dyDescent="0.25">
      <c r="S492" s="11">
        <v>474</v>
      </c>
      <c r="T492" s="4">
        <v>156.81941112922786</v>
      </c>
      <c r="U492" s="7">
        <v>0.26040356155945865</v>
      </c>
    </row>
    <row r="493" spans="19:21" x14ac:dyDescent="0.25">
      <c r="S493" s="11">
        <v>475</v>
      </c>
      <c r="T493" s="4">
        <v>277.37535015670721</v>
      </c>
      <c r="U493" s="7">
        <v>1.2293469712000258</v>
      </c>
    </row>
    <row r="494" spans="19:21" x14ac:dyDescent="0.25">
      <c r="S494" s="11">
        <v>476</v>
      </c>
      <c r="T494" s="4">
        <v>278.53411486077778</v>
      </c>
      <c r="U494" s="7">
        <v>1.238660302690707</v>
      </c>
    </row>
    <row r="495" spans="19:21" x14ac:dyDescent="0.25">
      <c r="S495" s="11">
        <v>477</v>
      </c>
      <c r="T495" s="4">
        <v>159.45471795638966</v>
      </c>
      <c r="U495" s="7">
        <v>0.28158429477889135</v>
      </c>
    </row>
    <row r="496" spans="19:21" x14ac:dyDescent="0.25">
      <c r="S496" s="11">
        <v>478</v>
      </c>
      <c r="T496" s="4">
        <v>177.18090662888798</v>
      </c>
      <c r="U496" s="7">
        <v>0.42405486761684608</v>
      </c>
    </row>
    <row r="497" spans="19:21" x14ac:dyDescent="0.25">
      <c r="S497" s="11">
        <v>479</v>
      </c>
      <c r="T497" s="4">
        <v>175.7270139273856</v>
      </c>
      <c r="U497" s="7">
        <v>0.41236950592658417</v>
      </c>
    </row>
    <row r="498" spans="19:21" x14ac:dyDescent="0.25">
      <c r="S498" s="11">
        <v>480</v>
      </c>
      <c r="T498" s="4">
        <v>242.33009308627811</v>
      </c>
      <c r="U498" s="7">
        <v>0.94767797047322055</v>
      </c>
    </row>
    <row r="499" spans="19:21" x14ac:dyDescent="0.25">
      <c r="S499" s="11">
        <v>481</v>
      </c>
      <c r="T499" s="4">
        <v>130.41163250502802</v>
      </c>
      <c r="U499" s="7">
        <v>4.8156506229127372E-2</v>
      </c>
    </row>
    <row r="500" spans="19:21" x14ac:dyDescent="0.25">
      <c r="S500" s="11">
        <v>482</v>
      </c>
      <c r="T500" s="4">
        <v>235.97042480511357</v>
      </c>
      <c r="U500" s="7">
        <v>0.89656345286218908</v>
      </c>
    </row>
    <row r="501" spans="19:21" x14ac:dyDescent="0.25">
      <c r="S501" s="11">
        <v>483</v>
      </c>
      <c r="T501" s="4">
        <v>293.43976010813742</v>
      </c>
      <c r="U501" s="7">
        <v>1.358461341489611</v>
      </c>
    </row>
    <row r="502" spans="19:21" x14ac:dyDescent="0.25">
      <c r="S502" s="11">
        <v>484</v>
      </c>
      <c r="T502" s="4">
        <v>69.128672704481261</v>
      </c>
      <c r="U502" s="7">
        <v>-0.44439260002828118</v>
      </c>
    </row>
    <row r="503" spans="19:21" x14ac:dyDescent="0.25">
      <c r="S503" s="11">
        <v>485</v>
      </c>
      <c r="T503" s="4">
        <v>53.826435406531239</v>
      </c>
      <c r="U503" s="7">
        <v>-0.56738116535499727</v>
      </c>
    </row>
    <row r="504" spans="19:21" x14ac:dyDescent="0.25">
      <c r="S504" s="11">
        <v>486</v>
      </c>
      <c r="T504" s="4">
        <v>159.16507163063153</v>
      </c>
      <c r="U504" s="7">
        <v>0.2792563223808997</v>
      </c>
    </row>
    <row r="505" spans="19:21" x14ac:dyDescent="0.25">
      <c r="S505" s="11">
        <v>487</v>
      </c>
      <c r="T505" s="4">
        <v>185.07325264622</v>
      </c>
      <c r="U505" s="7">
        <v>0.48748796532888594</v>
      </c>
    </row>
    <row r="506" spans="19:21" x14ac:dyDescent="0.25">
      <c r="S506" s="11">
        <v>488</v>
      </c>
      <c r="T506" s="4">
        <v>284.0559566021409</v>
      </c>
      <c r="U506" s="7">
        <v>1.2830409628849133</v>
      </c>
    </row>
    <row r="507" spans="19:21" x14ac:dyDescent="0.25">
      <c r="S507" s="11">
        <v>489</v>
      </c>
      <c r="T507" s="4">
        <v>82.300472941296007</v>
      </c>
      <c r="U507" s="7">
        <v>-0.33852698166455553</v>
      </c>
    </row>
    <row r="508" spans="19:21" x14ac:dyDescent="0.25">
      <c r="S508" s="11">
        <v>490</v>
      </c>
      <c r="T508" s="4">
        <v>296.46093056321217</v>
      </c>
      <c r="U508" s="7">
        <v>1.3827433737599435</v>
      </c>
    </row>
    <row r="509" spans="19:21" x14ac:dyDescent="0.25">
      <c r="S509" s="11">
        <v>491</v>
      </c>
      <c r="T509" s="4">
        <v>227.31540120062655</v>
      </c>
      <c r="U509" s="7">
        <v>0.8270004918873699</v>
      </c>
    </row>
    <row r="510" spans="19:21" x14ac:dyDescent="0.25">
      <c r="S510" s="11">
        <v>492</v>
      </c>
      <c r="T510" s="4">
        <v>157.718506698678</v>
      </c>
      <c r="U510" s="7">
        <v>0.26762985612182932</v>
      </c>
    </row>
    <row r="511" spans="19:21" x14ac:dyDescent="0.25">
      <c r="S511" s="11">
        <v>493</v>
      </c>
      <c r="T511" s="4">
        <v>170.74558104331859</v>
      </c>
      <c r="U511" s="7">
        <v>0.3723322700797187</v>
      </c>
    </row>
    <row r="512" spans="19:21" x14ac:dyDescent="0.25">
      <c r="S512" s="11">
        <v>494</v>
      </c>
      <c r="T512" s="4">
        <v>104.35554038677637</v>
      </c>
      <c r="U512" s="7">
        <v>-0.16126394159478885</v>
      </c>
    </row>
    <row r="513" spans="19:21" x14ac:dyDescent="0.25">
      <c r="S513" s="11">
        <v>495</v>
      </c>
      <c r="T513" s="4">
        <v>110.89608994051167</v>
      </c>
      <c r="U513" s="7">
        <v>-0.10869562819071155</v>
      </c>
    </row>
    <row r="514" spans="19:21" x14ac:dyDescent="0.25">
      <c r="S514" s="11">
        <v>496</v>
      </c>
      <c r="T514" s="4">
        <v>97.381221935895525</v>
      </c>
      <c r="U514" s="7">
        <v>-0.21731858273673421</v>
      </c>
    </row>
    <row r="515" spans="19:21" x14ac:dyDescent="0.25">
      <c r="S515" s="11">
        <v>497</v>
      </c>
      <c r="T515" s="4">
        <v>142.44041522644665</v>
      </c>
      <c r="U515" s="7">
        <v>0.14483535787209978</v>
      </c>
    </row>
    <row r="516" spans="19:21" x14ac:dyDescent="0.25">
      <c r="S516" s="11">
        <v>498</v>
      </c>
      <c r="T516" s="4">
        <v>162.09383457242734</v>
      </c>
      <c r="U516" s="7">
        <v>0.30279564838793882</v>
      </c>
    </row>
    <row r="517" spans="19:21" x14ac:dyDescent="0.25">
      <c r="S517" s="11">
        <v>499</v>
      </c>
      <c r="T517" s="4">
        <v>130.6418945638658</v>
      </c>
      <c r="U517" s="7">
        <v>5.000718987193209E-2</v>
      </c>
    </row>
    <row r="518" spans="19:21" x14ac:dyDescent="0.25">
      <c r="S518" s="11">
        <v>500</v>
      </c>
      <c r="T518" s="4">
        <v>116.55007947662457</v>
      </c>
      <c r="U518" s="7">
        <v>-6.3252857445550759E-2</v>
      </c>
    </row>
    <row r="519" spans="19:21" x14ac:dyDescent="0.25">
      <c r="S519" s="11">
        <v>501</v>
      </c>
      <c r="T519" s="4">
        <v>117.47096667993418</v>
      </c>
      <c r="U519" s="7">
        <v>-5.5851417136037806E-2</v>
      </c>
    </row>
    <row r="520" spans="19:21" x14ac:dyDescent="0.25">
      <c r="S520" s="11">
        <v>502</v>
      </c>
      <c r="T520" s="4">
        <v>384.32494743262725</v>
      </c>
      <c r="U520" s="7">
        <v>2.0889322249849482</v>
      </c>
    </row>
    <row r="521" spans="19:21" x14ac:dyDescent="0.25">
      <c r="S521" s="11">
        <v>503</v>
      </c>
      <c r="T521" s="4">
        <v>304.37324134094064</v>
      </c>
      <c r="U521" s="7">
        <v>1.4463369341017573</v>
      </c>
    </row>
    <row r="522" spans="19:21" x14ac:dyDescent="0.25">
      <c r="S522" s="11">
        <v>504</v>
      </c>
      <c r="T522" s="4">
        <v>446.53214723872833</v>
      </c>
      <c r="U522" s="7">
        <v>2.5889097190060144</v>
      </c>
    </row>
    <row r="523" spans="19:21" x14ac:dyDescent="0.25">
      <c r="S523" s="11">
        <v>505</v>
      </c>
      <c r="T523" s="4">
        <v>141.23984141101309</v>
      </c>
      <c r="U523" s="7">
        <v>0.13518599430166445</v>
      </c>
    </row>
    <row r="524" spans="19:21" x14ac:dyDescent="0.25">
      <c r="S524" s="11">
        <v>506</v>
      </c>
      <c r="T524" s="4">
        <v>169.76260305425242</v>
      </c>
      <c r="U524" s="7">
        <v>0.36443178793001474</v>
      </c>
    </row>
    <row r="525" spans="19:21" x14ac:dyDescent="0.25">
      <c r="S525" s="11">
        <v>507</v>
      </c>
      <c r="T525" s="4">
        <v>148.34107000204494</v>
      </c>
      <c r="U525" s="7">
        <v>0.19226064942971344</v>
      </c>
    </row>
    <row r="526" spans="19:21" x14ac:dyDescent="0.25">
      <c r="S526" s="11">
        <v>508</v>
      </c>
      <c r="T526" s="4">
        <v>109.58424745139989</v>
      </c>
      <c r="U526" s="7">
        <v>-0.11923929069763795</v>
      </c>
    </row>
    <row r="527" spans="19:21" x14ac:dyDescent="0.25">
      <c r="S527" s="11">
        <v>509</v>
      </c>
      <c r="T527" s="4">
        <v>104.07463267190874</v>
      </c>
      <c r="U527" s="7">
        <v>-0.16352167921629368</v>
      </c>
    </row>
    <row r="528" spans="19:21" x14ac:dyDescent="0.25">
      <c r="S528" s="11">
        <v>510</v>
      </c>
      <c r="T528" s="4">
        <v>90.864975285474245</v>
      </c>
      <c r="U528" s="7">
        <v>-0.26969156658516125</v>
      </c>
    </row>
    <row r="529" spans="19:21" x14ac:dyDescent="0.25">
      <c r="S529" s="11">
        <v>511</v>
      </c>
      <c r="T529" s="4">
        <v>180.85040707738318</v>
      </c>
      <c r="U529" s="7">
        <v>0.45354771803072791</v>
      </c>
    </row>
    <row r="530" spans="19:21" x14ac:dyDescent="0.25">
      <c r="S530" s="11">
        <v>512</v>
      </c>
      <c r="T530" s="4">
        <v>187.02400070847344</v>
      </c>
      <c r="U530" s="7">
        <v>0.50316669915185197</v>
      </c>
    </row>
    <row r="531" spans="19:21" x14ac:dyDescent="0.25">
      <c r="S531" s="11">
        <v>513</v>
      </c>
      <c r="T531" s="4">
        <v>210.10107674375843</v>
      </c>
      <c r="U531" s="7">
        <v>0.68864392174697331</v>
      </c>
    </row>
    <row r="532" spans="19:21" x14ac:dyDescent="0.25">
      <c r="S532" s="11">
        <v>514</v>
      </c>
      <c r="T532" s="4">
        <v>322.36298498075314</v>
      </c>
      <c r="U532" s="7">
        <v>1.5909257754440858</v>
      </c>
    </row>
    <row r="533" spans="19:21" x14ac:dyDescent="0.25">
      <c r="S533" s="11">
        <v>515</v>
      </c>
      <c r="T533" s="4">
        <v>152.55037313840015</v>
      </c>
      <c r="U533" s="7">
        <v>0.2260920522295462</v>
      </c>
    </row>
    <row r="534" spans="19:21" x14ac:dyDescent="0.25">
      <c r="S534" s="11">
        <v>516</v>
      </c>
      <c r="T534" s="4">
        <v>131.30148404077167</v>
      </c>
      <c r="U534" s="7">
        <v>5.5308503783729757E-2</v>
      </c>
    </row>
    <row r="535" spans="19:21" x14ac:dyDescent="0.25">
      <c r="S535" s="11">
        <v>517</v>
      </c>
      <c r="T535" s="4">
        <v>250.12188792995011</v>
      </c>
      <c r="U535" s="7">
        <v>1.010302908937069</v>
      </c>
    </row>
    <row r="536" spans="19:21" x14ac:dyDescent="0.25">
      <c r="S536" s="11">
        <v>518</v>
      </c>
      <c r="T536" s="4">
        <v>123.02492715420581</v>
      </c>
      <c r="U536" s="7">
        <v>-1.1212609273381968E-2</v>
      </c>
    </row>
    <row r="537" spans="19:21" x14ac:dyDescent="0.25">
      <c r="S537" s="11">
        <v>519</v>
      </c>
      <c r="T537" s="4">
        <v>165.77337060656521</v>
      </c>
      <c r="U537" s="7">
        <v>0.33236915774445586</v>
      </c>
    </row>
    <row r="538" spans="19:21" x14ac:dyDescent="0.25">
      <c r="S538" s="11">
        <v>520</v>
      </c>
      <c r="T538" s="4">
        <v>267.08505275744875</v>
      </c>
      <c r="U538" s="7">
        <v>1.1466408355364792</v>
      </c>
    </row>
    <row r="539" spans="19:21" x14ac:dyDescent="0.25">
      <c r="S539" s="11">
        <v>521</v>
      </c>
      <c r="T539" s="4">
        <v>357.14025057438272</v>
      </c>
      <c r="U539" s="7">
        <v>1.8704408501397101</v>
      </c>
    </row>
    <row r="540" spans="19:21" x14ac:dyDescent="0.25">
      <c r="S540" s="11">
        <v>522</v>
      </c>
      <c r="T540" s="4">
        <v>155.9587213332351</v>
      </c>
      <c r="U540" s="7">
        <v>0.2534859454527818</v>
      </c>
    </row>
    <row r="541" spans="19:21" x14ac:dyDescent="0.25">
      <c r="S541" s="11">
        <v>523</v>
      </c>
      <c r="T541" s="4">
        <v>163.92794842620896</v>
      </c>
      <c r="U541" s="7">
        <v>0.31753695889896272</v>
      </c>
    </row>
    <row r="542" spans="19:21" x14ac:dyDescent="0.25">
      <c r="S542" s="11">
        <v>524</v>
      </c>
      <c r="T542" s="4">
        <v>225.93688928956502</v>
      </c>
      <c r="U542" s="7">
        <v>0.81592098769944554</v>
      </c>
    </row>
    <row r="543" spans="19:21" x14ac:dyDescent="0.25">
      <c r="S543" s="11">
        <v>525</v>
      </c>
      <c r="T543" s="4">
        <v>175.68188827167506</v>
      </c>
      <c r="U543" s="7">
        <v>0.41200681780802983</v>
      </c>
    </row>
    <row r="544" spans="19:21" x14ac:dyDescent="0.25">
      <c r="S544" s="11">
        <v>526</v>
      </c>
      <c r="T544" s="4">
        <v>362.78335077289648</v>
      </c>
      <c r="U544" s="7">
        <v>1.9157961000875781</v>
      </c>
    </row>
    <row r="545" spans="19:21" x14ac:dyDescent="0.25">
      <c r="S545" s="11">
        <v>527</v>
      </c>
      <c r="T545" s="4">
        <v>164.35927579253223</v>
      </c>
      <c r="U545" s="7">
        <v>0.32100366333814678</v>
      </c>
    </row>
    <row r="546" spans="19:21" x14ac:dyDescent="0.25">
      <c r="S546" s="11">
        <v>528</v>
      </c>
      <c r="T546" s="4">
        <v>110.81785584020973</v>
      </c>
      <c r="U546" s="7">
        <v>-0.10932441858053588</v>
      </c>
    </row>
    <row r="547" spans="19:21" x14ac:dyDescent="0.25">
      <c r="S547" s="11">
        <v>529</v>
      </c>
      <c r="T547" s="4">
        <v>179.36745774521555</v>
      </c>
      <c r="U547" s="7">
        <v>0.44162881968506307</v>
      </c>
    </row>
    <row r="548" spans="19:21" x14ac:dyDescent="0.25">
      <c r="S548" s="11">
        <v>530</v>
      </c>
      <c r="T548" s="4">
        <v>227.9746891230543</v>
      </c>
      <c r="U548" s="7">
        <v>0.83229938211745935</v>
      </c>
    </row>
    <row r="549" spans="19:21" x14ac:dyDescent="0.25">
      <c r="S549" s="11">
        <v>531</v>
      </c>
      <c r="T549" s="4">
        <v>317.40464366235869</v>
      </c>
      <c r="U549" s="7">
        <v>1.5510741332772762</v>
      </c>
    </row>
    <row r="550" spans="19:21" x14ac:dyDescent="0.25">
      <c r="S550" s="11">
        <v>532</v>
      </c>
      <c r="T550" s="4">
        <v>128.3524989777026</v>
      </c>
      <c r="U550" s="7">
        <v>3.1606646662132976E-2</v>
      </c>
    </row>
    <row r="551" spans="19:21" x14ac:dyDescent="0.25">
      <c r="S551" s="11">
        <v>533</v>
      </c>
      <c r="T551" s="4">
        <v>270.38884561209113</v>
      </c>
      <c r="U551" s="7">
        <v>1.1731943868517209</v>
      </c>
    </row>
    <row r="552" spans="19:21" x14ac:dyDescent="0.25">
      <c r="S552" s="11">
        <v>534</v>
      </c>
      <c r="T552" s="4">
        <v>135.64856281519963</v>
      </c>
      <c r="U552" s="7">
        <v>9.0247249760485593E-2</v>
      </c>
    </row>
    <row r="553" spans="19:21" x14ac:dyDescent="0.25">
      <c r="S553" s="11">
        <v>535</v>
      </c>
      <c r="T553" s="4">
        <v>169.43828376178422</v>
      </c>
      <c r="U553" s="7">
        <v>0.36182513873801825</v>
      </c>
    </row>
    <row r="554" spans="19:21" x14ac:dyDescent="0.25">
      <c r="S554" s="11">
        <v>536</v>
      </c>
      <c r="T554" s="4">
        <v>128.85793501542696</v>
      </c>
      <c r="U554" s="7">
        <v>3.5668984210150745E-2</v>
      </c>
    </row>
    <row r="555" spans="19:21" x14ac:dyDescent="0.25">
      <c r="S555" s="11">
        <v>537</v>
      </c>
      <c r="T555" s="4">
        <v>377.34047966637416</v>
      </c>
      <c r="U555" s="7">
        <v>2.0327960108212038</v>
      </c>
    </row>
    <row r="556" spans="19:21" x14ac:dyDescent="0.25">
      <c r="S556" s="11">
        <v>538</v>
      </c>
      <c r="T556" s="4">
        <v>257.72755571749786</v>
      </c>
      <c r="U556" s="7">
        <v>1.0714318897082289</v>
      </c>
    </row>
    <row r="557" spans="19:21" x14ac:dyDescent="0.25">
      <c r="S557" s="11">
        <v>539</v>
      </c>
      <c r="T557" s="4">
        <v>312.66587610105705</v>
      </c>
      <c r="U557" s="7">
        <v>1.5129872697400502</v>
      </c>
    </row>
    <row r="558" spans="19:21" x14ac:dyDescent="0.25">
      <c r="S558" s="11">
        <v>540</v>
      </c>
      <c r="T558" s="4">
        <v>345.44745975410814</v>
      </c>
      <c r="U558" s="7">
        <v>1.7764624638651996</v>
      </c>
    </row>
    <row r="559" spans="19:21" x14ac:dyDescent="0.25">
      <c r="S559" s="11">
        <v>541</v>
      </c>
      <c r="T559" s="4">
        <v>376.37934265066349</v>
      </c>
      <c r="U559" s="7">
        <v>2.0250710709746302</v>
      </c>
    </row>
    <row r="560" spans="19:21" x14ac:dyDescent="0.25">
      <c r="S560" s="11">
        <v>542</v>
      </c>
      <c r="T560" s="4">
        <v>170.89642154860601</v>
      </c>
      <c r="U560" s="7">
        <v>0.37354461942297057</v>
      </c>
    </row>
    <row r="561" spans="19:21" x14ac:dyDescent="0.25">
      <c r="S561" s="11">
        <v>543</v>
      </c>
      <c r="T561" s="4">
        <v>310.6172874490735</v>
      </c>
      <c r="U561" s="7">
        <v>1.4965221624262459</v>
      </c>
    </row>
    <row r="562" spans="19:21" x14ac:dyDescent="0.25">
      <c r="S562" s="11">
        <v>544</v>
      </c>
      <c r="T562" s="4">
        <v>238.70369180544353</v>
      </c>
      <c r="U562" s="7">
        <v>0.91853152069959432</v>
      </c>
    </row>
    <row r="563" spans="19:21" x14ac:dyDescent="0.25">
      <c r="S563" s="11">
        <v>545</v>
      </c>
      <c r="T563" s="4">
        <v>173.49761854521748</v>
      </c>
      <c r="U563" s="7">
        <v>0.39445120193873562</v>
      </c>
    </row>
    <row r="564" spans="19:21" x14ac:dyDescent="0.25">
      <c r="S564" s="11">
        <v>546</v>
      </c>
      <c r="T564" s="4">
        <v>64.916403318461917</v>
      </c>
      <c r="U564" s="7">
        <v>-0.47824784344589366</v>
      </c>
    </row>
    <row r="565" spans="19:21" x14ac:dyDescent="0.25">
      <c r="S565" s="11">
        <v>547</v>
      </c>
      <c r="T565" s="4">
        <v>135.26397961618233</v>
      </c>
      <c r="U565" s="7">
        <v>8.7156241891836794E-2</v>
      </c>
    </row>
    <row r="566" spans="19:21" x14ac:dyDescent="0.25">
      <c r="S566" s="11">
        <v>548</v>
      </c>
      <c r="T566" s="4">
        <v>154.90815424755155</v>
      </c>
      <c r="U566" s="7">
        <v>0.24504222992727498</v>
      </c>
    </row>
    <row r="567" spans="19:21" x14ac:dyDescent="0.25">
      <c r="S567" s="11">
        <v>549</v>
      </c>
      <c r="T567" s="4">
        <v>95.757132375864913</v>
      </c>
      <c r="U567" s="7">
        <v>-0.23037186645342456</v>
      </c>
    </row>
    <row r="568" spans="19:21" x14ac:dyDescent="0.25">
      <c r="S568" s="11">
        <v>550</v>
      </c>
      <c r="T568" s="4">
        <v>158.92612609678676</v>
      </c>
      <c r="U568" s="7">
        <v>0.27733584710486059</v>
      </c>
    </row>
    <row r="569" spans="19:21" x14ac:dyDescent="0.25">
      <c r="S569" s="11">
        <v>551</v>
      </c>
      <c r="T569" s="4">
        <v>331.79937125887011</v>
      </c>
      <c r="U569" s="7">
        <v>1.6667687771971558</v>
      </c>
    </row>
    <row r="570" spans="19:21" x14ac:dyDescent="0.25">
      <c r="S570" s="11">
        <v>552</v>
      </c>
      <c r="T570" s="4">
        <v>337.90463637405549</v>
      </c>
      <c r="U570" s="7">
        <v>1.7158385820129842</v>
      </c>
    </row>
    <row r="571" spans="19:21" x14ac:dyDescent="0.25">
      <c r="S571" s="11">
        <v>553</v>
      </c>
      <c r="T571" s="4">
        <v>105.14703079891922</v>
      </c>
      <c r="U571" s="7">
        <v>-0.15490250121428051</v>
      </c>
    </row>
    <row r="572" spans="19:21" x14ac:dyDescent="0.25">
      <c r="S572" s="11">
        <v>554</v>
      </c>
      <c r="T572" s="4">
        <v>320.25461120808944</v>
      </c>
      <c r="U572" s="7">
        <v>1.5739801575959609</v>
      </c>
    </row>
    <row r="573" spans="19:21" x14ac:dyDescent="0.25">
      <c r="S573" s="11">
        <v>555</v>
      </c>
      <c r="T573" s="4">
        <v>173.82801382566728</v>
      </c>
      <c r="U573" s="7">
        <v>0.39710668562664586</v>
      </c>
    </row>
    <row r="574" spans="19:21" x14ac:dyDescent="0.25">
      <c r="S574" s="11">
        <v>556</v>
      </c>
      <c r="T574" s="4">
        <v>311.58096500359284</v>
      </c>
      <c r="U574" s="7">
        <v>1.5042675213277032</v>
      </c>
    </row>
    <row r="575" spans="19:21" x14ac:dyDescent="0.25">
      <c r="S575" s="11">
        <v>557</v>
      </c>
      <c r="T575" s="4">
        <v>166.38875604855045</v>
      </c>
      <c r="U575" s="7">
        <v>0.33731519087405926</v>
      </c>
    </row>
    <row r="576" spans="19:21" x14ac:dyDescent="0.25">
      <c r="S576" s="11">
        <v>558</v>
      </c>
      <c r="T576" s="4">
        <v>199.18463657032311</v>
      </c>
      <c r="U576" s="7">
        <v>0.60090529312267393</v>
      </c>
    </row>
    <row r="577" spans="19:21" x14ac:dyDescent="0.25">
      <c r="S577" s="11">
        <v>559</v>
      </c>
      <c r="T577" s="4">
        <v>197.4937855040713</v>
      </c>
      <c r="U577" s="7">
        <v>0.58731542761671185</v>
      </c>
    </row>
    <row r="578" spans="19:21" x14ac:dyDescent="0.25">
      <c r="S578" s="11">
        <v>560</v>
      </c>
      <c r="T578" s="4">
        <v>161.87234732563238</v>
      </c>
      <c r="U578" s="7">
        <v>0.30101549048089038</v>
      </c>
    </row>
    <row r="579" spans="19:21" x14ac:dyDescent="0.25">
      <c r="S579" s="11">
        <v>561</v>
      </c>
      <c r="T579" s="4">
        <v>203.19056494130615</v>
      </c>
      <c r="U579" s="7">
        <v>0.63310211333632971</v>
      </c>
    </row>
    <row r="580" spans="19:21" x14ac:dyDescent="0.25">
      <c r="S580" s="11">
        <v>562</v>
      </c>
      <c r="T580" s="4">
        <v>372.25830852654508</v>
      </c>
      <c r="U580" s="7">
        <v>1.9919491120924695</v>
      </c>
    </row>
    <row r="581" spans="19:21" x14ac:dyDescent="0.25">
      <c r="S581" s="11">
        <v>563</v>
      </c>
      <c r="T581" s="4">
        <v>153.62367618106046</v>
      </c>
      <c r="U581" s="7">
        <v>0.23471850330381328</v>
      </c>
    </row>
    <row r="582" spans="19:21" x14ac:dyDescent="0.25">
      <c r="S582" s="11">
        <v>564</v>
      </c>
      <c r="T582" s="4">
        <v>128.69092326163815</v>
      </c>
      <c r="U582" s="7">
        <v>3.4326661803875114E-2</v>
      </c>
    </row>
    <row r="583" spans="19:21" x14ac:dyDescent="0.25">
      <c r="S583" s="11">
        <v>565</v>
      </c>
      <c r="T583" s="4">
        <v>213.33808538018846</v>
      </c>
      <c r="U583" s="7">
        <v>0.71466070873001497</v>
      </c>
    </row>
    <row r="584" spans="19:21" x14ac:dyDescent="0.25">
      <c r="S584" s="11">
        <v>566</v>
      </c>
      <c r="T584" s="4">
        <v>102.31186591490598</v>
      </c>
      <c r="U584" s="7">
        <v>-0.177689552202974</v>
      </c>
    </row>
    <row r="585" spans="19:21" x14ac:dyDescent="0.25">
      <c r="S585" s="11">
        <v>567</v>
      </c>
      <c r="T585" s="4">
        <v>164.1421403453171</v>
      </c>
      <c r="U585" s="7">
        <v>0.31925848211957164</v>
      </c>
    </row>
    <row r="586" spans="19:21" x14ac:dyDescent="0.25">
      <c r="S586" s="11">
        <v>568</v>
      </c>
      <c r="T586" s="4">
        <v>141.34742609094013</v>
      </c>
      <c r="U586" s="7">
        <v>0.13605068390082087</v>
      </c>
    </row>
    <row r="587" spans="19:21" x14ac:dyDescent="0.25">
      <c r="S587" s="11">
        <v>569</v>
      </c>
      <c r="T587" s="4">
        <v>209.18752942461794</v>
      </c>
      <c r="U587" s="7">
        <v>0.68130147423740506</v>
      </c>
    </row>
    <row r="588" spans="19:21" x14ac:dyDescent="0.25">
      <c r="S588" s="11">
        <v>570</v>
      </c>
      <c r="T588" s="4">
        <v>103.05233665408728</v>
      </c>
      <c r="U588" s="7">
        <v>-0.17173817188484741</v>
      </c>
    </row>
    <row r="589" spans="19:21" x14ac:dyDescent="0.25">
      <c r="S589" s="11">
        <v>571</v>
      </c>
      <c r="T589" s="4">
        <v>111.9769501215338</v>
      </c>
      <c r="U589" s="7">
        <v>-0.10000843818088889</v>
      </c>
    </row>
    <row r="590" spans="19:21" x14ac:dyDescent="0.25">
      <c r="S590" s="11">
        <v>572</v>
      </c>
      <c r="T590" s="4">
        <v>124.07685675584391</v>
      </c>
      <c r="U590" s="7">
        <v>-2.7579428078773338E-3</v>
      </c>
    </row>
    <row r="591" spans="19:21" x14ac:dyDescent="0.25">
      <c r="S591" s="11">
        <v>573</v>
      </c>
      <c r="T591" s="4">
        <v>151.39971120729996</v>
      </c>
      <c r="U591" s="7">
        <v>0.21684384509966215</v>
      </c>
    </row>
    <row r="592" spans="19:21" x14ac:dyDescent="0.25">
      <c r="S592" s="11">
        <v>574</v>
      </c>
      <c r="T592" s="4">
        <v>129.79871378467615</v>
      </c>
      <c r="U592" s="7">
        <v>4.3230298864138872E-2</v>
      </c>
    </row>
    <row r="593" spans="19:21" x14ac:dyDescent="0.25">
      <c r="S593" s="11">
        <v>575</v>
      </c>
      <c r="T593" s="4">
        <v>144.17096419948484</v>
      </c>
      <c r="U593" s="7">
        <v>0.15874428708796695</v>
      </c>
    </row>
    <row r="594" spans="19:21" x14ac:dyDescent="0.25">
      <c r="S594" s="11">
        <v>576</v>
      </c>
      <c r="T594" s="4">
        <v>121.37279397161676</v>
      </c>
      <c r="U594" s="7">
        <v>-2.4491287802469452E-2</v>
      </c>
    </row>
    <row r="595" spans="19:21" x14ac:dyDescent="0.25">
      <c r="S595" s="11">
        <v>577</v>
      </c>
      <c r="T595" s="4">
        <v>207.28307248735993</v>
      </c>
      <c r="U595" s="7">
        <v>0.66599479575116494</v>
      </c>
    </row>
    <row r="596" spans="19:21" x14ac:dyDescent="0.25">
      <c r="S596" s="11">
        <v>578</v>
      </c>
      <c r="T596" s="4">
        <v>319.85132084345918</v>
      </c>
      <c r="U596" s="7">
        <v>1.570738794755338</v>
      </c>
    </row>
    <row r="597" spans="19:21" x14ac:dyDescent="0.25">
      <c r="S597" s="11">
        <v>579</v>
      </c>
      <c r="T597" s="4">
        <v>95.746624444082059</v>
      </c>
      <c r="U597" s="7">
        <v>-0.23045632178040465</v>
      </c>
    </row>
    <row r="598" spans="19:21" x14ac:dyDescent="0.25">
      <c r="S598" s="11">
        <v>580</v>
      </c>
      <c r="T598" s="4">
        <v>158.46683250164128</v>
      </c>
      <c r="U598" s="7">
        <v>0.27364436988941709</v>
      </c>
    </row>
    <row r="599" spans="19:21" x14ac:dyDescent="0.25">
      <c r="S599" s="11">
        <v>581</v>
      </c>
      <c r="T599" s="4">
        <v>140.55423602142173</v>
      </c>
      <c r="U599" s="7">
        <v>0.12967558287591818</v>
      </c>
    </row>
    <row r="600" spans="19:21" x14ac:dyDescent="0.25">
      <c r="S600" s="11">
        <v>582</v>
      </c>
      <c r="T600" s="4">
        <v>224.00523305547506</v>
      </c>
      <c r="U600" s="7">
        <v>0.80039570049409314</v>
      </c>
    </row>
    <row r="601" spans="19:21" x14ac:dyDescent="0.25">
      <c r="S601" s="11">
        <v>583</v>
      </c>
      <c r="T601" s="4">
        <v>110.97419404928476</v>
      </c>
      <c r="U601" s="7">
        <v>-0.10806788258089728</v>
      </c>
    </row>
    <row r="602" spans="19:21" x14ac:dyDescent="0.25">
      <c r="S602" s="11">
        <v>584</v>
      </c>
      <c r="T602" s="4">
        <v>246.27998904352802</v>
      </c>
      <c r="U602" s="7">
        <v>0.97942444175798116</v>
      </c>
    </row>
    <row r="603" spans="19:21" x14ac:dyDescent="0.25">
      <c r="S603" s="11">
        <v>585</v>
      </c>
      <c r="T603" s="4">
        <v>94.337625702083514</v>
      </c>
      <c r="U603" s="7">
        <v>-0.24178085756242151</v>
      </c>
    </row>
    <row r="604" spans="19:21" x14ac:dyDescent="0.25">
      <c r="S604" s="11">
        <v>586</v>
      </c>
      <c r="T604" s="4">
        <v>90.330463572541689</v>
      </c>
      <c r="U604" s="7">
        <v>-0.27398759385515437</v>
      </c>
    </row>
    <row r="605" spans="19:21" x14ac:dyDescent="0.25">
      <c r="S605" s="11">
        <v>587</v>
      </c>
      <c r="T605" s="4">
        <v>249.91110350961816</v>
      </c>
      <c r="U605" s="7">
        <v>1.0086087727826567</v>
      </c>
    </row>
    <row r="606" spans="19:21" x14ac:dyDescent="0.25">
      <c r="S606" s="11">
        <v>588</v>
      </c>
      <c r="T606" s="4">
        <v>183.67926740090348</v>
      </c>
      <c r="U606" s="7">
        <v>0.47628409741925326</v>
      </c>
    </row>
    <row r="607" spans="19:21" x14ac:dyDescent="0.25">
      <c r="S607" s="11">
        <v>589</v>
      </c>
      <c r="T607" s="4">
        <v>115.365772222149</v>
      </c>
      <c r="U607" s="7">
        <v>-7.2771481898818546E-2</v>
      </c>
    </row>
    <row r="608" spans="19:21" x14ac:dyDescent="0.25">
      <c r="S608" s="11">
        <v>590</v>
      </c>
      <c r="T608" s="4">
        <v>118.87442316960271</v>
      </c>
      <c r="U608" s="7">
        <v>-4.457142606009723E-2</v>
      </c>
    </row>
    <row r="609" spans="19:21" x14ac:dyDescent="0.25">
      <c r="S609" s="11">
        <v>591</v>
      </c>
      <c r="T609" s="4">
        <v>337.38759345789674</v>
      </c>
      <c r="U609" s="7">
        <v>1.7116829565817131</v>
      </c>
    </row>
    <row r="610" spans="19:21" x14ac:dyDescent="0.25">
      <c r="S610" s="11">
        <v>592</v>
      </c>
      <c r="T610" s="4">
        <v>247.05991414028497</v>
      </c>
      <c r="U610" s="7">
        <v>0.98569292830963651</v>
      </c>
    </row>
    <row r="611" spans="19:21" x14ac:dyDescent="0.25">
      <c r="S611" s="11">
        <v>593</v>
      </c>
      <c r="T611" s="4">
        <v>240.91519007976422</v>
      </c>
      <c r="U611" s="7">
        <v>0.93630598038710988</v>
      </c>
    </row>
    <row r="612" spans="19:21" x14ac:dyDescent="0.25">
      <c r="S612" s="11">
        <v>594</v>
      </c>
      <c r="T612" s="4">
        <v>162.40595191228437</v>
      </c>
      <c r="U612" s="7">
        <v>0.30530422691114256</v>
      </c>
    </row>
    <row r="613" spans="19:21" x14ac:dyDescent="0.25">
      <c r="S613" s="11">
        <v>595</v>
      </c>
      <c r="T613" s="4">
        <v>184.235247149142</v>
      </c>
      <c r="U613" s="7">
        <v>0.48075266957998708</v>
      </c>
    </row>
    <row r="614" spans="19:21" x14ac:dyDescent="0.25">
      <c r="S614" s="11">
        <v>596</v>
      </c>
      <c r="T614" s="4">
        <v>140.40074324640358</v>
      </c>
      <c r="U614" s="7">
        <v>0.12844191646361991</v>
      </c>
    </row>
    <row r="615" spans="19:21" x14ac:dyDescent="0.25">
      <c r="S615" s="11">
        <v>597</v>
      </c>
      <c r="T615" s="4">
        <v>185.01110745027762</v>
      </c>
      <c r="U615" s="7">
        <v>0.48698848617808732</v>
      </c>
    </row>
    <row r="616" spans="19:21" x14ac:dyDescent="0.25">
      <c r="S616" s="11">
        <v>598</v>
      </c>
      <c r="T616" s="4">
        <v>234.73474193941766</v>
      </c>
      <c r="U616" s="7">
        <v>0.8866319075664495</v>
      </c>
    </row>
    <row r="617" spans="19:21" x14ac:dyDescent="0.25">
      <c r="S617" s="11">
        <v>599</v>
      </c>
      <c r="T617" s="4">
        <v>119.17332644353009</v>
      </c>
      <c r="U617" s="7">
        <v>-4.2169052857015887E-2</v>
      </c>
    </row>
    <row r="618" spans="19:21" x14ac:dyDescent="0.25">
      <c r="S618" s="11">
        <v>600</v>
      </c>
      <c r="T618" s="4">
        <v>104.95055654897567</v>
      </c>
      <c r="U618" s="7">
        <v>-0.15648162233583296</v>
      </c>
    </row>
    <row r="619" spans="19:21" x14ac:dyDescent="0.25">
      <c r="S619" s="11">
        <v>601</v>
      </c>
      <c r="T619" s="4">
        <v>218.4637892148281</v>
      </c>
      <c r="U619" s="7">
        <v>0.75585749248374934</v>
      </c>
    </row>
    <row r="620" spans="19:21" x14ac:dyDescent="0.25">
      <c r="S620" s="11">
        <v>602</v>
      </c>
      <c r="T620" s="4">
        <v>237.51075908236038</v>
      </c>
      <c r="U620" s="7">
        <v>0.90894357082752264</v>
      </c>
    </row>
    <row r="621" spans="19:21" x14ac:dyDescent="0.25">
      <c r="S621" s="11">
        <v>603</v>
      </c>
      <c r="T621" s="4">
        <v>96.639647898382862</v>
      </c>
      <c r="U621" s="7">
        <v>-0.22327883058686016</v>
      </c>
    </row>
    <row r="622" spans="19:21" x14ac:dyDescent="0.25">
      <c r="S622" s="11">
        <v>604</v>
      </c>
      <c r="T622" s="4">
        <v>57.834724312832748</v>
      </c>
      <c r="U622" s="7">
        <v>-0.53516537282725651</v>
      </c>
    </row>
    <row r="623" spans="19:21" x14ac:dyDescent="0.25">
      <c r="S623" s="11">
        <v>605</v>
      </c>
      <c r="T623" s="4">
        <v>102.04443753935927</v>
      </c>
      <c r="U623" s="7">
        <v>-0.17983895242437498</v>
      </c>
    </row>
    <row r="624" spans="19:21" x14ac:dyDescent="0.25">
      <c r="S624" s="11">
        <v>606</v>
      </c>
      <c r="T624" s="4">
        <v>151.51426300713953</v>
      </c>
      <c r="U624" s="7">
        <v>0.21776453148319819</v>
      </c>
    </row>
    <row r="625" spans="19:21" x14ac:dyDescent="0.25">
      <c r="S625" s="11">
        <v>607</v>
      </c>
      <c r="T625" s="4">
        <v>128.6573706116738</v>
      </c>
      <c r="U625" s="7">
        <v>3.4056989323853148E-2</v>
      </c>
    </row>
    <row r="626" spans="19:21" x14ac:dyDescent="0.25">
      <c r="S626" s="11">
        <v>608</v>
      </c>
      <c r="T626" s="4">
        <v>280.23794414621096</v>
      </c>
      <c r="U626" s="7">
        <v>1.2523544779473634</v>
      </c>
    </row>
    <row r="627" spans="19:21" x14ac:dyDescent="0.25">
      <c r="S627" s="11">
        <v>609</v>
      </c>
      <c r="T627" s="4">
        <v>126.8628249551948</v>
      </c>
      <c r="U627" s="7">
        <v>1.9633700009602961E-2</v>
      </c>
    </row>
    <row r="628" spans="19:21" x14ac:dyDescent="0.25">
      <c r="S628" s="11">
        <v>610</v>
      </c>
      <c r="T628" s="4">
        <v>85.637199091558827</v>
      </c>
      <c r="U628" s="7">
        <v>-0.31170873580164904</v>
      </c>
    </row>
    <row r="629" spans="19:21" x14ac:dyDescent="0.25">
      <c r="S629" s="11">
        <v>611</v>
      </c>
      <c r="T629" s="4">
        <v>61.602938169115873</v>
      </c>
      <c r="U629" s="7">
        <v>-0.50487913382803518</v>
      </c>
    </row>
    <row r="630" spans="19:21" x14ac:dyDescent="0.25">
      <c r="S630" s="11">
        <v>612</v>
      </c>
      <c r="T630" s="4">
        <v>184.22702645438548</v>
      </c>
      <c r="U630" s="7">
        <v>0.48068659744723896</v>
      </c>
    </row>
    <row r="631" spans="19:21" x14ac:dyDescent="0.25">
      <c r="S631" s="11">
        <v>613</v>
      </c>
      <c r="T631" s="4">
        <v>164.57897813938266</v>
      </c>
      <c r="U631" s="7">
        <v>0.32276947548129442</v>
      </c>
    </row>
    <row r="632" spans="19:21" x14ac:dyDescent="0.25">
      <c r="S632" s="11">
        <v>614</v>
      </c>
      <c r="T632" s="4">
        <v>129.94275123208681</v>
      </c>
      <c r="U632" s="7">
        <v>4.4387970037669255E-2</v>
      </c>
    </row>
    <row r="633" spans="19:21" x14ac:dyDescent="0.25">
      <c r="S633" s="11">
        <v>615</v>
      </c>
      <c r="T633" s="4">
        <v>145.08131852203604</v>
      </c>
      <c r="U633" s="7">
        <v>0.16606107154827221</v>
      </c>
    </row>
    <row r="634" spans="19:21" x14ac:dyDescent="0.25">
      <c r="S634" s="11">
        <v>616</v>
      </c>
      <c r="T634" s="4">
        <v>53.811082673342419</v>
      </c>
      <c r="U634" s="7">
        <v>-0.56750455977059622</v>
      </c>
    </row>
    <row r="635" spans="19:21" x14ac:dyDescent="0.25">
      <c r="S635" s="11">
        <v>617</v>
      </c>
      <c r="T635" s="4">
        <v>101.83158291825497</v>
      </c>
      <c r="U635" s="7">
        <v>-0.1815497273890454</v>
      </c>
    </row>
    <row r="636" spans="19:21" x14ac:dyDescent="0.25">
      <c r="S636" s="11">
        <v>618</v>
      </c>
      <c r="T636" s="4">
        <v>65.499789865645397</v>
      </c>
      <c r="U636" s="7">
        <v>-0.4735589948107588</v>
      </c>
    </row>
    <row r="637" spans="19:21" x14ac:dyDescent="0.25">
      <c r="S637" s="11">
        <v>619</v>
      </c>
      <c r="T637" s="4">
        <v>129.45639114876425</v>
      </c>
      <c r="U637" s="7">
        <v>4.0478951525190876E-2</v>
      </c>
    </row>
    <row r="638" spans="19:21" x14ac:dyDescent="0.25">
      <c r="S638" s="11">
        <v>620</v>
      </c>
      <c r="T638" s="4">
        <v>190.8738702215343</v>
      </c>
      <c r="U638" s="7">
        <v>0.53410922859294563</v>
      </c>
    </row>
    <row r="639" spans="19:21" x14ac:dyDescent="0.25">
      <c r="S639" s="11">
        <v>621</v>
      </c>
      <c r="T639" s="4">
        <v>311.15469086842171</v>
      </c>
      <c r="U639" s="7">
        <v>1.5008414311880864</v>
      </c>
    </row>
    <row r="640" spans="19:21" x14ac:dyDescent="0.25">
      <c r="S640" s="11">
        <v>622</v>
      </c>
      <c r="T640" s="4">
        <v>354.89754001966628</v>
      </c>
      <c r="U640" s="7">
        <v>1.8524155282082164</v>
      </c>
    </row>
    <row r="641" spans="19:21" x14ac:dyDescent="0.25">
      <c r="S641" s="11">
        <v>623</v>
      </c>
      <c r="T641" s="4">
        <v>216.17126353553977</v>
      </c>
      <c r="U641" s="7">
        <v>0.73743179179826202</v>
      </c>
    </row>
    <row r="642" spans="19:21" x14ac:dyDescent="0.25">
      <c r="S642" s="11">
        <v>624</v>
      </c>
      <c r="T642" s="4">
        <v>143.05332835984399</v>
      </c>
      <c r="U642" s="7">
        <v>0.14976152033309753</v>
      </c>
    </row>
    <row r="643" spans="19:21" x14ac:dyDescent="0.25">
      <c r="S643" s="11">
        <v>625</v>
      </c>
      <c r="T643" s="4">
        <v>111.34987206139935</v>
      </c>
      <c r="U643" s="7">
        <v>-0.10504844830895876</v>
      </c>
    </row>
    <row r="644" spans="19:21" x14ac:dyDescent="0.25">
      <c r="S644" s="11">
        <v>626</v>
      </c>
      <c r="T644" s="4">
        <v>207.45674850361303</v>
      </c>
      <c r="U644" s="7">
        <v>0.66739068078775943</v>
      </c>
    </row>
    <row r="645" spans="19:21" x14ac:dyDescent="0.25">
      <c r="S645" s="11">
        <v>627</v>
      </c>
      <c r="T645" s="4">
        <v>67.016057446167991</v>
      </c>
      <c r="U645" s="7">
        <v>-0.46137230793949535</v>
      </c>
    </row>
    <row r="646" spans="19:21" x14ac:dyDescent="0.25">
      <c r="S646" s="11">
        <v>628</v>
      </c>
      <c r="T646" s="4">
        <v>138.94819509754342</v>
      </c>
      <c r="U646" s="7">
        <v>0.11676736133695087</v>
      </c>
    </row>
    <row r="647" spans="19:21" x14ac:dyDescent="0.25">
      <c r="S647" s="11">
        <v>629</v>
      </c>
      <c r="T647" s="4">
        <v>268.60980979134388</v>
      </c>
      <c r="U647" s="7">
        <v>1.1588957546322445</v>
      </c>
    </row>
    <row r="648" spans="19:21" x14ac:dyDescent="0.25">
      <c r="S648" s="11">
        <v>630</v>
      </c>
      <c r="T648" s="4">
        <v>169.10903839506256</v>
      </c>
      <c r="U648" s="7">
        <v>0.35917889724371133</v>
      </c>
    </row>
    <row r="649" spans="19:21" x14ac:dyDescent="0.25">
      <c r="S649" s="11">
        <v>631</v>
      </c>
      <c r="T649" s="4">
        <v>134.20597674446688</v>
      </c>
      <c r="U649" s="7">
        <v>7.8652762775011098E-2</v>
      </c>
    </row>
    <row r="650" spans="19:21" x14ac:dyDescent="0.25">
      <c r="S650" s="11">
        <v>632</v>
      </c>
      <c r="T650" s="4">
        <v>199.9623706626239</v>
      </c>
      <c r="U650" s="7">
        <v>0.60715616992946386</v>
      </c>
    </row>
    <row r="651" spans="19:21" x14ac:dyDescent="0.25">
      <c r="S651" s="11">
        <v>633</v>
      </c>
      <c r="T651" s="4">
        <v>268.15800754449674</v>
      </c>
      <c r="U651" s="7">
        <v>1.1552644875783376</v>
      </c>
    </row>
    <row r="652" spans="19:21" x14ac:dyDescent="0.25">
      <c r="S652" s="11">
        <v>634</v>
      </c>
      <c r="T652" s="4">
        <v>186.09934157520539</v>
      </c>
      <c r="U652" s="7">
        <v>0.49573494273593788</v>
      </c>
    </row>
    <row r="653" spans="19:21" x14ac:dyDescent="0.25">
      <c r="S653" s="11">
        <v>635</v>
      </c>
      <c r="T653" s="4">
        <v>124.7158642527294</v>
      </c>
      <c r="U653" s="7">
        <v>2.3779476991592219E-3</v>
      </c>
    </row>
    <row r="654" spans="19:21" x14ac:dyDescent="0.25">
      <c r="S654" s="11">
        <v>636</v>
      </c>
      <c r="T654" s="4">
        <v>173.43660287218287</v>
      </c>
      <c r="U654" s="7">
        <v>0.39396080109454168</v>
      </c>
    </row>
    <row r="655" spans="19:21" x14ac:dyDescent="0.25">
      <c r="S655" s="11">
        <v>637</v>
      </c>
      <c r="T655" s="4">
        <v>186.2988363928566</v>
      </c>
      <c r="U655" s="7">
        <v>0.49733834104530295</v>
      </c>
    </row>
    <row r="656" spans="19:21" x14ac:dyDescent="0.25">
      <c r="S656" s="11">
        <v>638</v>
      </c>
      <c r="T656" s="4">
        <v>127.44739985173223</v>
      </c>
      <c r="U656" s="7">
        <v>2.433209975672912E-2</v>
      </c>
    </row>
    <row r="657" spans="19:21" x14ac:dyDescent="0.25">
      <c r="S657" s="11">
        <v>639</v>
      </c>
      <c r="T657" s="4">
        <v>117.43097124204198</v>
      </c>
      <c r="U657" s="7">
        <v>-5.617287219062872E-2</v>
      </c>
    </row>
    <row r="658" spans="19:21" x14ac:dyDescent="0.25">
      <c r="S658" s="11">
        <v>640</v>
      </c>
      <c r="T658" s="4">
        <v>182.56805314916616</v>
      </c>
      <c r="U658" s="7">
        <v>0.46735294284814466</v>
      </c>
    </row>
    <row r="659" spans="19:21" x14ac:dyDescent="0.25">
      <c r="S659" s="11">
        <v>641</v>
      </c>
      <c r="T659" s="4">
        <v>296.90502397885371</v>
      </c>
      <c r="U659" s="7">
        <v>1.3863126826784575</v>
      </c>
    </row>
    <row r="660" spans="19:21" x14ac:dyDescent="0.25">
      <c r="S660" s="11">
        <v>642</v>
      </c>
      <c r="T660" s="4">
        <v>164.17816954530502</v>
      </c>
      <c r="U660" s="7">
        <v>0.31954805935786057</v>
      </c>
    </row>
    <row r="661" spans="19:21" x14ac:dyDescent="0.25">
      <c r="S661" s="11">
        <v>643</v>
      </c>
      <c r="T661" s="4">
        <v>238.72281496809529</v>
      </c>
      <c r="U661" s="7">
        <v>0.91868521916167256</v>
      </c>
    </row>
    <row r="662" spans="19:21" x14ac:dyDescent="0.25">
      <c r="S662" s="11">
        <v>644</v>
      </c>
      <c r="T662" s="4">
        <v>320.95524688509585</v>
      </c>
      <c r="U662" s="7">
        <v>1.5796113718461329</v>
      </c>
    </row>
    <row r="663" spans="19:21" x14ac:dyDescent="0.25">
      <c r="S663" s="11">
        <v>645</v>
      </c>
      <c r="T663" s="4">
        <v>129.38239049303598</v>
      </c>
      <c r="U663" s="7">
        <v>3.9884186569972613E-2</v>
      </c>
    </row>
    <row r="664" spans="19:21" x14ac:dyDescent="0.25">
      <c r="S664" s="11">
        <v>646</v>
      </c>
      <c r="T664" s="4">
        <v>136.3975605366598</v>
      </c>
      <c r="U664" s="7">
        <v>9.6267163933931865E-2</v>
      </c>
    </row>
    <row r="665" spans="19:21" x14ac:dyDescent="0.25">
      <c r="S665" s="11">
        <v>647</v>
      </c>
      <c r="T665" s="4">
        <v>177.57266193210043</v>
      </c>
      <c r="U665" s="7">
        <v>0.42720351978862259</v>
      </c>
    </row>
    <row r="666" spans="19:21" x14ac:dyDescent="0.25">
      <c r="S666" s="11">
        <v>648</v>
      </c>
      <c r="T666" s="4">
        <v>126.88103059309063</v>
      </c>
      <c r="U666" s="7">
        <v>1.9780024056346379E-2</v>
      </c>
    </row>
    <row r="667" spans="19:21" x14ac:dyDescent="0.25">
      <c r="S667" s="11">
        <v>649</v>
      </c>
      <c r="T667" s="4">
        <v>210.28866114926799</v>
      </c>
      <c r="U667" s="7">
        <v>0.69015159258373249</v>
      </c>
    </row>
    <row r="668" spans="19:21" x14ac:dyDescent="0.25">
      <c r="S668" s="11">
        <v>650</v>
      </c>
      <c r="T668" s="4">
        <v>264.09599739120307</v>
      </c>
      <c r="U668" s="7">
        <v>1.1226169216460624</v>
      </c>
    </row>
    <row r="669" spans="19:21" x14ac:dyDescent="0.25">
      <c r="S669" s="11">
        <v>651</v>
      </c>
      <c r="T669" s="4">
        <v>121.0153631309969</v>
      </c>
      <c r="U669" s="7">
        <v>-2.736406420995896E-2</v>
      </c>
    </row>
    <row r="670" spans="19:21" x14ac:dyDescent="0.25">
      <c r="S670" s="11">
        <v>652</v>
      </c>
      <c r="T670" s="4">
        <v>149.37725231822199</v>
      </c>
      <c r="U670" s="7">
        <v>0.20058875034738777</v>
      </c>
    </row>
    <row r="671" spans="19:21" x14ac:dyDescent="0.25">
      <c r="S671" s="11">
        <v>653</v>
      </c>
      <c r="T671" s="4">
        <v>171.62295513088699</v>
      </c>
      <c r="U671" s="7">
        <v>0.37938398272694895</v>
      </c>
    </row>
    <row r="672" spans="19:21" x14ac:dyDescent="0.25">
      <c r="S672" s="11">
        <v>654</v>
      </c>
      <c r="T672" s="4">
        <v>112.65953452397608</v>
      </c>
      <c r="U672" s="7">
        <v>-9.4522307314128917E-2</v>
      </c>
    </row>
    <row r="673" spans="19:21" x14ac:dyDescent="0.25">
      <c r="S673" s="11">
        <v>655</v>
      </c>
      <c r="T673" s="4">
        <v>269.35872626782367</v>
      </c>
      <c r="U673" s="7">
        <v>1.1649150158159753</v>
      </c>
    </row>
    <row r="674" spans="19:21" x14ac:dyDescent="0.25">
      <c r="S674" s="11">
        <v>656</v>
      </c>
      <c r="T674" s="4">
        <v>142.66936016732825</v>
      </c>
      <c r="U674" s="7">
        <v>0.14667545545192295</v>
      </c>
    </row>
    <row r="675" spans="19:21" x14ac:dyDescent="0.25">
      <c r="S675" s="11">
        <v>657</v>
      </c>
      <c r="T675" s="4">
        <v>174.16459201258252</v>
      </c>
      <c r="U675" s="7">
        <v>0.39981186314565598</v>
      </c>
    </row>
    <row r="676" spans="19:21" x14ac:dyDescent="0.25">
      <c r="S676" s="11">
        <v>658</v>
      </c>
      <c r="T676" s="4">
        <v>403.83685817543443</v>
      </c>
      <c r="U676" s="7">
        <v>2.2457551693894424</v>
      </c>
    </row>
    <row r="677" spans="19:21" x14ac:dyDescent="0.25">
      <c r="S677" s="11">
        <v>659</v>
      </c>
      <c r="T677" s="4">
        <v>175.82278334251964</v>
      </c>
      <c r="U677" s="7">
        <v>0.41313923278025744</v>
      </c>
    </row>
    <row r="678" spans="19:21" x14ac:dyDescent="0.25">
      <c r="S678" s="11">
        <v>660</v>
      </c>
      <c r="T678" s="4">
        <v>261.27852660377914</v>
      </c>
      <c r="U678" s="7">
        <v>1.0999720832967301</v>
      </c>
    </row>
    <row r="679" spans="19:21" x14ac:dyDescent="0.25">
      <c r="S679" s="11">
        <v>661</v>
      </c>
      <c r="T679" s="4">
        <v>174.82075952779874</v>
      </c>
      <c r="U679" s="7">
        <v>0.40508567374858329</v>
      </c>
    </row>
    <row r="680" spans="19:21" x14ac:dyDescent="0.25">
      <c r="S680" s="11">
        <v>662</v>
      </c>
      <c r="T680" s="4">
        <v>132.97247923581784</v>
      </c>
      <c r="U680" s="7">
        <v>6.8738781834253748E-2</v>
      </c>
    </row>
    <row r="681" spans="19:21" x14ac:dyDescent="0.25">
      <c r="S681" s="11">
        <v>663</v>
      </c>
      <c r="T681" s="4">
        <v>149.24975479963157</v>
      </c>
      <c r="U681" s="7">
        <v>0.19956401542864155</v>
      </c>
    </row>
    <row r="682" spans="19:21" x14ac:dyDescent="0.25">
      <c r="S682" s="11">
        <v>664</v>
      </c>
      <c r="T682" s="4">
        <v>89.820733174705268</v>
      </c>
      <c r="U682" s="7">
        <v>-0.27808444643381069</v>
      </c>
    </row>
    <row r="683" spans="19:21" x14ac:dyDescent="0.25">
      <c r="S683" s="11">
        <v>665</v>
      </c>
      <c r="T683" s="4">
        <v>278.7339406679173</v>
      </c>
      <c r="U683" s="7">
        <v>1.2402663612595828</v>
      </c>
    </row>
    <row r="684" spans="19:21" x14ac:dyDescent="0.25">
      <c r="S684" s="11">
        <v>666</v>
      </c>
      <c r="T684" s="4">
        <v>183.7036215061099</v>
      </c>
      <c r="U684" s="7">
        <v>0.47647983849951681</v>
      </c>
    </row>
    <row r="685" spans="19:21" x14ac:dyDescent="0.25">
      <c r="S685" s="11">
        <v>667</v>
      </c>
      <c r="T685" s="4">
        <v>124.96581738065122</v>
      </c>
      <c r="U685" s="7">
        <v>4.3868942344575945E-3</v>
      </c>
    </row>
    <row r="686" spans="19:21" x14ac:dyDescent="0.25">
      <c r="S686" s="11">
        <v>668</v>
      </c>
      <c r="T686" s="4">
        <v>185.73284048845136</v>
      </c>
      <c r="U686" s="7">
        <v>0.49278926610232565</v>
      </c>
    </row>
    <row r="687" spans="19:21" x14ac:dyDescent="0.25">
      <c r="S687" s="11">
        <v>669</v>
      </c>
      <c r="T687" s="4">
        <v>152.63049912547314</v>
      </c>
      <c r="U687" s="7">
        <v>0.2267360482677474</v>
      </c>
    </row>
    <row r="688" spans="19:21" x14ac:dyDescent="0.25">
      <c r="S688" s="11">
        <v>670</v>
      </c>
      <c r="T688" s="4">
        <v>81.561728816854469</v>
      </c>
      <c r="U688" s="7">
        <v>-0.34446448467405189</v>
      </c>
    </row>
    <row r="689" spans="19:21" x14ac:dyDescent="0.25">
      <c r="S689" s="11">
        <v>671</v>
      </c>
      <c r="T689" s="4">
        <v>149.22856381154713</v>
      </c>
      <c r="U689" s="7">
        <v>0.19939369724760603</v>
      </c>
    </row>
    <row r="690" spans="19:21" x14ac:dyDescent="0.25">
      <c r="S690" s="11">
        <v>672</v>
      </c>
      <c r="T690" s="4">
        <v>199.19090065335919</v>
      </c>
      <c r="U690" s="7">
        <v>0.60095563939366015</v>
      </c>
    </row>
    <row r="691" spans="19:21" x14ac:dyDescent="0.25">
      <c r="S691" s="11">
        <v>673</v>
      </c>
      <c r="T691" s="4">
        <v>224.43430013386421</v>
      </c>
      <c r="U691" s="7">
        <v>0.8038442383367963</v>
      </c>
    </row>
    <row r="692" spans="19:21" x14ac:dyDescent="0.25">
      <c r="S692" s="11">
        <v>674</v>
      </c>
      <c r="T692" s="4">
        <v>380.5819146774387</v>
      </c>
      <c r="U692" s="7">
        <v>2.0588483738742864</v>
      </c>
    </row>
    <row r="693" spans="19:21" x14ac:dyDescent="0.25">
      <c r="S693" s="11">
        <v>675</v>
      </c>
      <c r="T693" s="4">
        <v>166.54123828557275</v>
      </c>
      <c r="U693" s="7">
        <v>0.33854073529635698</v>
      </c>
    </row>
    <row r="694" spans="19:21" x14ac:dyDescent="0.25">
      <c r="S694" s="11">
        <v>676</v>
      </c>
      <c r="T694" s="4">
        <v>68.882581487515907</v>
      </c>
      <c r="U694" s="7">
        <v>-0.44637050725352911</v>
      </c>
    </row>
    <row r="695" spans="19:21" x14ac:dyDescent="0.25">
      <c r="S695" s="11">
        <v>677</v>
      </c>
      <c r="T695" s="4">
        <v>84.560346549308449</v>
      </c>
      <c r="U695" s="7">
        <v>-0.32036371524426577</v>
      </c>
    </row>
    <row r="696" spans="19:21" x14ac:dyDescent="0.25">
      <c r="S696" s="11">
        <v>678</v>
      </c>
      <c r="T696" s="4">
        <v>171.70729888454463</v>
      </c>
      <c r="U696" s="7">
        <v>0.38006187819116399</v>
      </c>
    </row>
    <row r="697" spans="19:21" x14ac:dyDescent="0.25">
      <c r="S697" s="11">
        <v>679</v>
      </c>
      <c r="T697" s="4">
        <v>273.3809372161964</v>
      </c>
      <c r="U697" s="7">
        <v>1.1972427038755535</v>
      </c>
    </row>
    <row r="698" spans="19:21" x14ac:dyDescent="0.25">
      <c r="S698" s="11">
        <v>680</v>
      </c>
      <c r="T698" s="4">
        <v>234.42853971378457</v>
      </c>
      <c r="U698" s="7">
        <v>0.88417087054962673</v>
      </c>
    </row>
    <row r="699" spans="19:21" x14ac:dyDescent="0.25">
      <c r="S699" s="11">
        <v>681</v>
      </c>
      <c r="T699" s="4">
        <v>90.640969776061212</v>
      </c>
      <c r="U699" s="7">
        <v>-0.271491964506822</v>
      </c>
    </row>
    <row r="700" spans="19:21" x14ac:dyDescent="0.25">
      <c r="S700" s="11">
        <v>682</v>
      </c>
      <c r="T700" s="4">
        <v>69.361739323782402</v>
      </c>
      <c r="U700" s="7">
        <v>-0.44251937531118468</v>
      </c>
    </row>
    <row r="701" spans="19:21" x14ac:dyDescent="0.25">
      <c r="S701" s="11">
        <v>683</v>
      </c>
      <c r="T701" s="4">
        <v>121.77042818284735</v>
      </c>
      <c r="U701" s="7">
        <v>-2.1295385124197486E-2</v>
      </c>
    </row>
    <row r="702" spans="19:21" x14ac:dyDescent="0.25">
      <c r="S702" s="11">
        <v>684</v>
      </c>
      <c r="T702" s="4">
        <v>408.07402144744287</v>
      </c>
      <c r="U702" s="7">
        <v>2.2798104922636462</v>
      </c>
    </row>
    <row r="703" spans="19:21" x14ac:dyDescent="0.25">
      <c r="S703" s="11">
        <v>685</v>
      </c>
      <c r="T703" s="4">
        <v>330.37152779927862</v>
      </c>
      <c r="U703" s="7">
        <v>1.6552927808975939</v>
      </c>
    </row>
    <row r="704" spans="19:21" x14ac:dyDescent="0.25">
      <c r="S704" s="11">
        <v>686</v>
      </c>
      <c r="T704" s="4">
        <v>110.17396842448551</v>
      </c>
      <c r="U704" s="7">
        <v>-0.11449953042528926</v>
      </c>
    </row>
    <row r="705" spans="19:21" x14ac:dyDescent="0.25">
      <c r="S705" s="11">
        <v>687</v>
      </c>
      <c r="T705" s="4">
        <v>108.87845980662179</v>
      </c>
      <c r="U705" s="7">
        <v>-0.12491191282252223</v>
      </c>
    </row>
    <row r="706" spans="19:21" x14ac:dyDescent="0.25">
      <c r="S706" s="11">
        <v>688</v>
      </c>
      <c r="T706" s="4">
        <v>156.30622649459548</v>
      </c>
      <c r="U706" s="7">
        <v>0.25627894626744485</v>
      </c>
    </row>
    <row r="707" spans="19:21" x14ac:dyDescent="0.25">
      <c r="S707" s="11">
        <v>689</v>
      </c>
      <c r="T707" s="4">
        <v>158.07740232467808</v>
      </c>
      <c r="U707" s="7">
        <v>0.2705144054386599</v>
      </c>
    </row>
    <row r="708" spans="19:21" x14ac:dyDescent="0.25">
      <c r="S708" s="11">
        <v>690</v>
      </c>
      <c r="T708" s="4">
        <v>133.57815337347213</v>
      </c>
      <c r="U708" s="7">
        <v>7.360676236515129E-2</v>
      </c>
    </row>
    <row r="709" spans="19:21" x14ac:dyDescent="0.25">
      <c r="S709" s="11">
        <v>691</v>
      </c>
      <c r="T709" s="4">
        <v>118.92729874247594</v>
      </c>
      <c r="U709" s="7">
        <v>-4.4146449586272785E-2</v>
      </c>
    </row>
    <row r="710" spans="19:21" x14ac:dyDescent="0.25">
      <c r="S710" s="11">
        <v>692</v>
      </c>
      <c r="T710" s="4">
        <v>120.75319721425809</v>
      </c>
      <c r="U710" s="7">
        <v>-2.9471168507811507E-2</v>
      </c>
    </row>
    <row r="711" spans="19:21" x14ac:dyDescent="0.25">
      <c r="S711" s="11">
        <v>693</v>
      </c>
      <c r="T711" s="4">
        <v>145.98411200485762</v>
      </c>
      <c r="U711" s="7">
        <v>0.17331708732404461</v>
      </c>
    </row>
    <row r="712" spans="19:21" x14ac:dyDescent="0.25">
      <c r="S712" s="11">
        <v>694</v>
      </c>
      <c r="T712" s="4">
        <v>260.92519461767455</v>
      </c>
      <c r="U712" s="7">
        <v>1.0971322505841066</v>
      </c>
    </row>
    <row r="713" spans="19:21" x14ac:dyDescent="0.25">
      <c r="S713" s="11">
        <v>695</v>
      </c>
      <c r="T713" s="4">
        <v>195.73874112811569</v>
      </c>
      <c r="U713" s="7">
        <v>0.57320962166947176</v>
      </c>
    </row>
    <row r="714" spans="19:21" x14ac:dyDescent="0.25">
      <c r="S714" s="11">
        <v>696</v>
      </c>
      <c r="T714" s="4">
        <v>254.95899685103845</v>
      </c>
      <c r="U714" s="7">
        <v>1.0491801708008235</v>
      </c>
    </row>
    <row r="715" spans="19:21" x14ac:dyDescent="0.25">
      <c r="S715" s="11">
        <v>697</v>
      </c>
      <c r="T715" s="4">
        <v>274.51629189159684</v>
      </c>
      <c r="U715" s="7">
        <v>1.2063678821057455</v>
      </c>
    </row>
    <row r="716" spans="19:21" x14ac:dyDescent="0.25">
      <c r="S716" s="11">
        <v>698</v>
      </c>
      <c r="T716" s="4">
        <v>321.37080414900998</v>
      </c>
      <c r="U716" s="7">
        <v>1.5829513273509885</v>
      </c>
    </row>
    <row r="717" spans="19:21" x14ac:dyDescent="0.25">
      <c r="S717" s="11">
        <v>699</v>
      </c>
      <c r="T717" s="4">
        <v>178.13705935420688</v>
      </c>
      <c r="U717" s="7">
        <v>0.43173974726094588</v>
      </c>
    </row>
    <row r="718" spans="19:21" x14ac:dyDescent="0.25">
      <c r="S718" s="11">
        <v>700</v>
      </c>
      <c r="T718" s="4">
        <v>106.14966929701103</v>
      </c>
      <c r="U718" s="7">
        <v>-0.14684400179222767</v>
      </c>
    </row>
    <row r="719" spans="19:21" x14ac:dyDescent="0.25">
      <c r="S719" s="11">
        <v>701</v>
      </c>
      <c r="T719" s="4">
        <v>134.13286679988363</v>
      </c>
      <c r="U719" s="7">
        <v>7.8065156726278895E-2</v>
      </c>
    </row>
    <row r="720" spans="19:21" x14ac:dyDescent="0.25">
      <c r="S720" s="11">
        <v>702</v>
      </c>
      <c r="T720" s="4">
        <v>185.45212047475027</v>
      </c>
      <c r="U720" s="7">
        <v>0.49053303709010021</v>
      </c>
    </row>
    <row r="721" spans="19:21" x14ac:dyDescent="0.25">
      <c r="S721" s="11">
        <v>703</v>
      </c>
      <c r="T721" s="4">
        <v>141.53791205195449</v>
      </c>
      <c r="U721" s="7">
        <v>0.13758167538944299</v>
      </c>
    </row>
    <row r="722" spans="19:21" x14ac:dyDescent="0.25">
      <c r="S722" s="11">
        <v>704</v>
      </c>
      <c r="T722" s="4">
        <v>189.88191568969549</v>
      </c>
      <c r="U722" s="7">
        <v>0.52613659933849455</v>
      </c>
    </row>
    <row r="723" spans="19:21" x14ac:dyDescent="0.25">
      <c r="S723" s="11">
        <v>705</v>
      </c>
      <c r="T723" s="4">
        <v>135.4388501691968</v>
      </c>
      <c r="U723" s="7">
        <v>8.8561727770429144E-2</v>
      </c>
    </row>
    <row r="724" spans="19:21" x14ac:dyDescent="0.25">
      <c r="S724" s="11">
        <v>706</v>
      </c>
      <c r="T724" s="4">
        <v>58.539938807066299</v>
      </c>
      <c r="U724" s="7">
        <v>-0.52949735728125469</v>
      </c>
    </row>
    <row r="725" spans="19:21" x14ac:dyDescent="0.25">
      <c r="S725" s="11">
        <v>707</v>
      </c>
      <c r="T725" s="4">
        <v>237.07418755007208</v>
      </c>
      <c r="U725" s="7">
        <v>0.90543471748972904</v>
      </c>
    </row>
    <row r="726" spans="19:21" x14ac:dyDescent="0.25">
      <c r="S726" s="11">
        <v>708</v>
      </c>
      <c r="T726" s="4">
        <v>147.40138942313732</v>
      </c>
      <c r="U726" s="7">
        <v>0.18470816125331391</v>
      </c>
    </row>
    <row r="727" spans="19:21" x14ac:dyDescent="0.25">
      <c r="S727" s="11">
        <v>709</v>
      </c>
      <c r="T727" s="4">
        <v>196.77008464221419</v>
      </c>
      <c r="U727" s="7">
        <v>0.58149883171687988</v>
      </c>
    </row>
    <row r="728" spans="19:21" x14ac:dyDescent="0.25">
      <c r="S728" s="11">
        <v>710</v>
      </c>
      <c r="T728" s="4">
        <v>241.77622127758278</v>
      </c>
      <c r="U728" s="7">
        <v>0.94322634044030518</v>
      </c>
    </row>
    <row r="729" spans="19:21" x14ac:dyDescent="0.25">
      <c r="S729" s="11">
        <v>711</v>
      </c>
      <c r="T729" s="4">
        <v>94.488635466099083</v>
      </c>
      <c r="U729" s="7">
        <v>-0.24056714783717181</v>
      </c>
    </row>
    <row r="730" spans="19:21" x14ac:dyDescent="0.25">
      <c r="S730" s="11">
        <v>712</v>
      </c>
      <c r="T730" s="4">
        <v>113.46739004223774</v>
      </c>
      <c r="U730" s="7">
        <v>-8.8029335780117846E-2</v>
      </c>
    </row>
    <row r="731" spans="19:21" x14ac:dyDescent="0.25">
      <c r="S731" s="11">
        <v>713</v>
      </c>
      <c r="T731" s="4">
        <v>120.50967824028743</v>
      </c>
      <c r="U731" s="7">
        <v>-3.1428401862341859E-2</v>
      </c>
    </row>
    <row r="732" spans="19:21" x14ac:dyDescent="0.25">
      <c r="S732" s="11">
        <v>714</v>
      </c>
      <c r="T732" s="4">
        <v>133.59520775231871</v>
      </c>
      <c r="U732" s="7">
        <v>7.3743833405551351E-2</v>
      </c>
    </row>
    <row r="733" spans="19:21" x14ac:dyDescent="0.25">
      <c r="S733" s="11">
        <v>715</v>
      </c>
      <c r="T733" s="4">
        <v>186.73869665318117</v>
      </c>
      <c r="U733" s="7">
        <v>0.50087362685405212</v>
      </c>
    </row>
    <row r="734" spans="19:21" x14ac:dyDescent="0.25">
      <c r="S734" s="11">
        <v>716</v>
      </c>
      <c r="T734" s="4">
        <v>150.21714443077377</v>
      </c>
      <c r="U734" s="7">
        <v>0.20733920937770267</v>
      </c>
    </row>
    <row r="735" spans="19:21" x14ac:dyDescent="0.25">
      <c r="S735" s="11">
        <v>717</v>
      </c>
      <c r="T735" s="4">
        <v>158.60203566683978</v>
      </c>
      <c r="U735" s="7">
        <v>0.27473103734801296</v>
      </c>
    </row>
    <row r="736" spans="19:21" x14ac:dyDescent="0.25">
      <c r="S736" s="11">
        <v>718</v>
      </c>
      <c r="T736" s="4">
        <v>222.40480588941449</v>
      </c>
      <c r="U736" s="7">
        <v>0.78753259837176093</v>
      </c>
    </row>
    <row r="737" spans="19:21" x14ac:dyDescent="0.25">
      <c r="S737" s="11">
        <v>719</v>
      </c>
      <c r="T737" s="4">
        <v>205.11891835684162</v>
      </c>
      <c r="U737" s="7">
        <v>0.64860085482110286</v>
      </c>
    </row>
    <row r="738" spans="19:21" x14ac:dyDescent="0.25">
      <c r="S738" s="11">
        <v>720</v>
      </c>
      <c r="T738" s="4">
        <v>281.03863545861793</v>
      </c>
      <c r="U738" s="7">
        <v>1.2587898686595236</v>
      </c>
    </row>
    <row r="739" spans="19:21" x14ac:dyDescent="0.25">
      <c r="S739" s="11">
        <v>721</v>
      </c>
      <c r="T739" s="4">
        <v>127.38968432217872</v>
      </c>
      <c r="U739" s="7">
        <v>2.386822313276582E-2</v>
      </c>
    </row>
    <row r="740" spans="19:21" x14ac:dyDescent="0.25">
      <c r="S740" s="11">
        <v>722</v>
      </c>
      <c r="T740" s="4">
        <v>155.65732021495467</v>
      </c>
      <c r="U740" s="7">
        <v>0.25106349634266723</v>
      </c>
    </row>
    <row r="741" spans="19:21" x14ac:dyDescent="0.25">
      <c r="S741" s="11">
        <v>723</v>
      </c>
      <c r="T741" s="4">
        <v>220.08401695427602</v>
      </c>
      <c r="U741" s="7">
        <v>0.76887973761674999</v>
      </c>
    </row>
    <row r="742" spans="19:21" x14ac:dyDescent="0.25">
      <c r="S742" s="11">
        <v>724</v>
      </c>
      <c r="T742" s="4">
        <v>170.0505118230582</v>
      </c>
      <c r="U742" s="7">
        <v>0.36674579507360705</v>
      </c>
    </row>
    <row r="743" spans="19:21" x14ac:dyDescent="0.25">
      <c r="S743" s="11">
        <v>725</v>
      </c>
      <c r="T743" s="4">
        <v>130.11543800497623</v>
      </c>
      <c r="U743" s="7">
        <v>4.5775904235462406E-2</v>
      </c>
    </row>
    <row r="744" spans="19:21" x14ac:dyDescent="0.25">
      <c r="S744" s="11">
        <v>726</v>
      </c>
      <c r="T744" s="4">
        <v>224.3420620610103</v>
      </c>
      <c r="U744" s="7">
        <v>0.80310289391585199</v>
      </c>
    </row>
    <row r="745" spans="19:21" x14ac:dyDescent="0.25">
      <c r="S745" s="11">
        <v>727</v>
      </c>
      <c r="T745" s="4">
        <v>104.19464647207988</v>
      </c>
      <c r="U745" s="7">
        <v>-0.1625570931355097</v>
      </c>
    </row>
    <row r="746" spans="19:21" x14ac:dyDescent="0.25">
      <c r="S746" s="11">
        <v>728</v>
      </c>
      <c r="T746" s="4">
        <v>127.57589201674068</v>
      </c>
      <c r="U746" s="7">
        <v>2.5364828940207973E-2</v>
      </c>
    </row>
    <row r="747" spans="19:21" x14ac:dyDescent="0.25">
      <c r="S747" s="11">
        <v>729</v>
      </c>
      <c r="T747" s="4">
        <v>126.69591112494832</v>
      </c>
      <c r="U747" s="7">
        <v>1.829216464353256E-2</v>
      </c>
    </row>
    <row r="748" spans="19:21" x14ac:dyDescent="0.25">
      <c r="S748" s="11">
        <v>730</v>
      </c>
      <c r="T748" s="4">
        <v>178.00947107130563</v>
      </c>
      <c r="U748" s="7">
        <v>0.43071428284283564</v>
      </c>
    </row>
    <row r="749" spans="19:21" x14ac:dyDescent="0.25">
      <c r="S749" s="11">
        <v>731</v>
      </c>
      <c r="T749" s="4">
        <v>68.705341755978452</v>
      </c>
      <c r="U749" s="7">
        <v>-0.44779503491417416</v>
      </c>
    </row>
    <row r="750" spans="19:21" x14ac:dyDescent="0.25">
      <c r="S750" s="11">
        <v>732</v>
      </c>
      <c r="T750" s="4">
        <v>174.20983847072048</v>
      </c>
      <c r="U750" s="7">
        <v>0.40017552218871955</v>
      </c>
    </row>
    <row r="751" spans="19:21" x14ac:dyDescent="0.25">
      <c r="S751" s="11">
        <v>733</v>
      </c>
      <c r="T751" s="4">
        <v>95.403137922717434</v>
      </c>
      <c r="U751" s="7">
        <v>-0.23321702360780072</v>
      </c>
    </row>
    <row r="752" spans="19:21" x14ac:dyDescent="0.25">
      <c r="S752" s="11">
        <v>734</v>
      </c>
      <c r="T752" s="4">
        <v>216.93922254495075</v>
      </c>
      <c r="U752" s="7">
        <v>0.74360410339937921</v>
      </c>
    </row>
    <row r="753" spans="19:21" x14ac:dyDescent="0.25">
      <c r="S753" s="11">
        <v>735</v>
      </c>
      <c r="T753" s="4">
        <v>179.46368087694455</v>
      </c>
      <c r="U753" s="7">
        <v>0.44240219319196705</v>
      </c>
    </row>
    <row r="754" spans="19:21" x14ac:dyDescent="0.25">
      <c r="S754" s="11">
        <v>736</v>
      </c>
      <c r="T754" s="4">
        <v>162.02029801892556</v>
      </c>
      <c r="U754" s="7">
        <v>0.30220461355831496</v>
      </c>
    </row>
    <row r="755" spans="19:21" x14ac:dyDescent="0.25">
      <c r="S755" s="11">
        <v>737</v>
      </c>
      <c r="T755" s="4">
        <v>127.06312146698595</v>
      </c>
      <c r="U755" s="7">
        <v>2.1243541769699004E-2</v>
      </c>
    </row>
    <row r="756" spans="19:21" x14ac:dyDescent="0.25">
      <c r="S756" s="11">
        <v>738</v>
      </c>
      <c r="T756" s="4">
        <v>167.75725469406049</v>
      </c>
      <c r="U756" s="7">
        <v>0.34831421551246167</v>
      </c>
    </row>
    <row r="757" spans="19:21" x14ac:dyDescent="0.25">
      <c r="S757" s="11">
        <v>739</v>
      </c>
      <c r="T757" s="4">
        <v>229.96421384458893</v>
      </c>
      <c r="U757" s="7">
        <v>0.84828977531416916</v>
      </c>
    </row>
    <row r="758" spans="19:21" x14ac:dyDescent="0.25">
      <c r="S758" s="11">
        <v>740</v>
      </c>
      <c r="T758" s="4">
        <v>176.24555476723029</v>
      </c>
      <c r="U758" s="7">
        <v>0.41653717060947026</v>
      </c>
    </row>
    <row r="759" spans="19:21" x14ac:dyDescent="0.25">
      <c r="S759" s="11">
        <v>741</v>
      </c>
      <c r="T759" s="4">
        <v>118.55268191056177</v>
      </c>
      <c r="U759" s="7">
        <v>-4.7157354841972587E-2</v>
      </c>
    </row>
    <row r="760" spans="19:21" x14ac:dyDescent="0.25">
      <c r="S760" s="11">
        <v>742</v>
      </c>
      <c r="T760" s="4">
        <v>92.551514093520339</v>
      </c>
      <c r="U760" s="7">
        <v>-0.2561363599620613</v>
      </c>
    </row>
    <row r="761" spans="19:21" x14ac:dyDescent="0.25">
      <c r="S761" s="11">
        <v>743</v>
      </c>
      <c r="T761" s="4">
        <v>81.432919779815691</v>
      </c>
      <c r="U761" s="7">
        <v>-0.34549976065089461</v>
      </c>
    </row>
    <row r="762" spans="19:21" x14ac:dyDescent="0.25">
      <c r="S762" s="11">
        <v>744</v>
      </c>
      <c r="T762" s="4">
        <v>99.860734331755253</v>
      </c>
      <c r="U762" s="7">
        <v>-0.19739001501563047</v>
      </c>
    </row>
    <row r="763" spans="19:21" x14ac:dyDescent="0.25">
      <c r="S763" s="11">
        <v>745</v>
      </c>
      <c r="T763" s="4">
        <v>242.98164095152671</v>
      </c>
      <c r="U763" s="7">
        <v>0.95291465159561728</v>
      </c>
    </row>
    <row r="764" spans="19:21" x14ac:dyDescent="0.25">
      <c r="S764" s="11">
        <v>746</v>
      </c>
      <c r="T764" s="4">
        <v>75.234175960203956</v>
      </c>
      <c r="U764" s="7">
        <v>-0.39532088120716968</v>
      </c>
    </row>
    <row r="765" spans="19:21" x14ac:dyDescent="0.25">
      <c r="S765" s="11">
        <v>747</v>
      </c>
      <c r="T765" s="4">
        <v>338.1753199810355</v>
      </c>
      <c r="U765" s="7">
        <v>1.7180141454833264</v>
      </c>
    </row>
    <row r="766" spans="19:21" x14ac:dyDescent="0.25">
      <c r="S766" s="11">
        <v>748</v>
      </c>
      <c r="T766" s="4">
        <v>76.290147540440088</v>
      </c>
      <c r="U766" s="7">
        <v>-0.38683372817521233</v>
      </c>
    </row>
    <row r="767" spans="19:21" x14ac:dyDescent="0.25">
      <c r="S767" s="11">
        <v>749</v>
      </c>
      <c r="T767" s="4">
        <v>191.61277188783424</v>
      </c>
      <c r="U767" s="7">
        <v>0.54004799781252411</v>
      </c>
    </row>
    <row r="768" spans="19:21" x14ac:dyDescent="0.25">
      <c r="S768" s="11">
        <v>750</v>
      </c>
      <c r="T768" s="4">
        <v>238.64255742206302</v>
      </c>
      <c r="U768" s="7">
        <v>0.91804016574556346</v>
      </c>
    </row>
    <row r="769" spans="19:21" x14ac:dyDescent="0.25">
      <c r="S769" s="11">
        <v>751</v>
      </c>
      <c r="T769" s="4">
        <v>279.34867821685168</v>
      </c>
      <c r="U769" s="7">
        <v>1.2452071870828778</v>
      </c>
    </row>
    <row r="770" spans="19:21" x14ac:dyDescent="0.25">
      <c r="S770" s="11">
        <v>752</v>
      </c>
      <c r="T770" s="4">
        <v>135.39324267221363</v>
      </c>
      <c r="U770" s="7">
        <v>8.8195166952367954E-2</v>
      </c>
    </row>
    <row r="771" spans="19:21" x14ac:dyDescent="0.25">
      <c r="S771" s="11">
        <v>753</v>
      </c>
      <c r="T771" s="4">
        <v>353.90135091679173</v>
      </c>
      <c r="U771" s="7">
        <v>1.8444088644654535</v>
      </c>
    </row>
    <row r="772" spans="19:21" x14ac:dyDescent="0.25">
      <c r="S772" s="11">
        <v>754</v>
      </c>
      <c r="T772" s="4">
        <v>70.214928925216668</v>
      </c>
      <c r="U772" s="7">
        <v>-0.43566204046602908</v>
      </c>
    </row>
    <row r="773" spans="19:21" x14ac:dyDescent="0.25">
      <c r="S773" s="11">
        <v>755</v>
      </c>
      <c r="T773" s="4">
        <v>158.56890954439891</v>
      </c>
      <c r="U773" s="7">
        <v>0.27446479299468662</v>
      </c>
    </row>
    <row r="774" spans="19:21" x14ac:dyDescent="0.25">
      <c r="S774" s="11">
        <v>756</v>
      </c>
      <c r="T774" s="4">
        <v>471.37406626138375</v>
      </c>
      <c r="U774" s="7">
        <v>2.7885715018596988</v>
      </c>
    </row>
    <row r="775" spans="19:21" x14ac:dyDescent="0.25">
      <c r="S775" s="11">
        <v>757</v>
      </c>
      <c r="T775" s="4">
        <v>108.57831327315913</v>
      </c>
      <c r="U775" s="7">
        <v>-0.12732427846681305</v>
      </c>
    </row>
    <row r="776" spans="19:21" x14ac:dyDescent="0.25">
      <c r="S776" s="11">
        <v>758</v>
      </c>
      <c r="T776" s="4">
        <v>124.90822754054801</v>
      </c>
      <c r="U776" s="7">
        <v>3.9240278134384798E-3</v>
      </c>
    </row>
    <row r="777" spans="19:21" x14ac:dyDescent="0.25">
      <c r="S777" s="11">
        <v>759</v>
      </c>
      <c r="T777" s="4">
        <v>393.50761613635171</v>
      </c>
      <c r="U777" s="7">
        <v>2.1627360242433027</v>
      </c>
    </row>
    <row r="778" spans="19:21" x14ac:dyDescent="0.25">
      <c r="S778" s="11">
        <v>760</v>
      </c>
      <c r="T778" s="4">
        <v>200.79217768946518</v>
      </c>
      <c r="U778" s="7">
        <v>0.61382557217059297</v>
      </c>
    </row>
    <row r="779" spans="19:21" x14ac:dyDescent="0.25">
      <c r="S779" s="11">
        <v>761</v>
      </c>
      <c r="T779" s="4">
        <v>146.97462408500087</v>
      </c>
      <c r="U779" s="7">
        <v>0.18127812317152281</v>
      </c>
    </row>
    <row r="780" spans="19:21" x14ac:dyDescent="0.25">
      <c r="S780" s="11">
        <v>762</v>
      </c>
      <c r="T780" s="4">
        <v>202.92358535047813</v>
      </c>
      <c r="U780" s="7">
        <v>0.63095632012922476</v>
      </c>
    </row>
    <row r="781" spans="19:21" x14ac:dyDescent="0.25">
      <c r="S781" s="11">
        <v>763</v>
      </c>
      <c r="T781" s="4">
        <v>116.34720212172236</v>
      </c>
      <c r="U781" s="7">
        <v>-6.4883442198019892E-2</v>
      </c>
    </row>
    <row r="782" spans="19:21" x14ac:dyDescent="0.25">
      <c r="S782" s="11">
        <v>764</v>
      </c>
      <c r="T782" s="4">
        <v>111.57380482477852</v>
      </c>
      <c r="U782" s="7">
        <v>-0.10324863506848969</v>
      </c>
    </row>
    <row r="783" spans="19:21" x14ac:dyDescent="0.25">
      <c r="S783" s="11">
        <v>765</v>
      </c>
      <c r="T783" s="4">
        <v>130.97056421320619</v>
      </c>
      <c r="U783" s="7">
        <v>5.2648804156937734E-2</v>
      </c>
    </row>
    <row r="784" spans="19:21" x14ac:dyDescent="0.25">
      <c r="S784" s="11">
        <v>766</v>
      </c>
      <c r="T784" s="4">
        <v>152.09256890534323</v>
      </c>
      <c r="U784" s="7">
        <v>0.22241254545365075</v>
      </c>
    </row>
    <row r="785" spans="19:21" x14ac:dyDescent="0.25">
      <c r="S785" s="11">
        <v>767</v>
      </c>
      <c r="T785" s="4">
        <v>167.9768949058797</v>
      </c>
      <c r="U785" s="7">
        <v>0.35007952825815547</v>
      </c>
    </row>
    <row r="786" spans="19:21" x14ac:dyDescent="0.25">
      <c r="S786" s="11">
        <v>768</v>
      </c>
      <c r="T786" s="4">
        <v>150.91588709324691</v>
      </c>
      <c r="U786" s="7">
        <v>0.21295520891534236</v>
      </c>
    </row>
    <row r="787" spans="19:21" x14ac:dyDescent="0.25">
      <c r="S787" s="11">
        <v>769</v>
      </c>
      <c r="T787" s="4">
        <v>224.8756078374702</v>
      </c>
      <c r="U787" s="7">
        <v>0.80739115767135661</v>
      </c>
    </row>
    <row r="788" spans="19:21" x14ac:dyDescent="0.25">
      <c r="S788" s="11">
        <v>770</v>
      </c>
      <c r="T788" s="4">
        <v>179.24037909131306</v>
      </c>
      <c r="U788" s="7">
        <v>0.4406074513045577</v>
      </c>
    </row>
    <row r="789" spans="19:21" x14ac:dyDescent="0.25">
      <c r="S789" s="11">
        <v>771</v>
      </c>
      <c r="T789" s="4">
        <v>48.360182425793177</v>
      </c>
      <c r="U789" s="7">
        <v>-0.61131504239034573</v>
      </c>
    </row>
    <row r="790" spans="19:21" x14ac:dyDescent="0.25">
      <c r="S790" s="11">
        <v>772</v>
      </c>
      <c r="T790" s="4">
        <v>254.13366026621185</v>
      </c>
      <c r="U790" s="7">
        <v>1.0425466988121834</v>
      </c>
    </row>
    <row r="791" spans="19:21" x14ac:dyDescent="0.25">
      <c r="S791" s="11">
        <v>773</v>
      </c>
      <c r="T791" s="4">
        <v>196.69930128168207</v>
      </c>
      <c r="U791" s="7">
        <v>0.5809299251059481</v>
      </c>
    </row>
    <row r="792" spans="19:21" x14ac:dyDescent="0.25">
      <c r="S792" s="11">
        <v>774</v>
      </c>
      <c r="T792" s="4">
        <v>248.45771069803064</v>
      </c>
      <c r="U792" s="7">
        <v>0.99692742885412833</v>
      </c>
    </row>
    <row r="793" spans="19:21" x14ac:dyDescent="0.25">
      <c r="S793" s="11">
        <v>775</v>
      </c>
      <c r="T793" s="4">
        <v>171.13603390904342</v>
      </c>
      <c r="U793" s="7">
        <v>0.37547045417974134</v>
      </c>
    </row>
    <row r="794" spans="19:21" x14ac:dyDescent="0.25">
      <c r="S794" s="11">
        <v>776</v>
      </c>
      <c r="T794" s="4">
        <v>193.9988735775049</v>
      </c>
      <c r="U794" s="7">
        <v>0.55922579631494052</v>
      </c>
    </row>
    <row r="795" spans="19:21" x14ac:dyDescent="0.25">
      <c r="S795" s="11">
        <v>777</v>
      </c>
      <c r="T795" s="4">
        <v>266.43911947866724</v>
      </c>
      <c r="U795" s="7">
        <v>1.1414492804908152</v>
      </c>
    </row>
    <row r="796" spans="19:21" x14ac:dyDescent="0.25">
      <c r="S796" s="11">
        <v>778</v>
      </c>
      <c r="T796" s="4">
        <v>221.77933354822284</v>
      </c>
      <c r="U796" s="7">
        <v>0.78250549387737367</v>
      </c>
    </row>
    <row r="797" spans="19:21" x14ac:dyDescent="0.25">
      <c r="S797" s="11">
        <v>779</v>
      </c>
      <c r="T797" s="4">
        <v>327.00468264746968</v>
      </c>
      <c r="U797" s="7">
        <v>1.6282324597931979</v>
      </c>
    </row>
    <row r="798" spans="19:21" x14ac:dyDescent="0.25">
      <c r="S798" s="11">
        <v>780</v>
      </c>
      <c r="T798" s="4">
        <v>335.27209990955589</v>
      </c>
      <c r="U798" s="7">
        <v>1.6946801150100939</v>
      </c>
    </row>
    <row r="799" spans="19:21" x14ac:dyDescent="0.25">
      <c r="S799" s="11">
        <v>781</v>
      </c>
      <c r="T799" s="4">
        <v>103.76737753736784</v>
      </c>
      <c r="U799" s="7">
        <v>-0.16599117877055269</v>
      </c>
    </row>
    <row r="800" spans="19:21" x14ac:dyDescent="0.25">
      <c r="S800" s="11">
        <v>782</v>
      </c>
      <c r="T800" s="4">
        <v>231.21050568748055</v>
      </c>
      <c r="U800" s="7">
        <v>0.85830658806848215</v>
      </c>
    </row>
    <row r="801" spans="19:21" x14ac:dyDescent="0.25">
      <c r="S801" s="11">
        <v>783</v>
      </c>
      <c r="T801" s="4">
        <v>198.89598745043608</v>
      </c>
      <c r="U801" s="7">
        <v>0.59858533556048932</v>
      </c>
    </row>
    <row r="802" spans="19:21" x14ac:dyDescent="0.25">
      <c r="S802" s="11">
        <v>784</v>
      </c>
      <c r="T802" s="4">
        <v>77.642773309655041</v>
      </c>
      <c r="U802" s="7">
        <v>-0.37596227849497632</v>
      </c>
    </row>
    <row r="803" spans="19:21" x14ac:dyDescent="0.25">
      <c r="S803" s="11">
        <v>785</v>
      </c>
      <c r="T803" s="4">
        <v>84.98943540596845</v>
      </c>
      <c r="U803" s="7">
        <v>-0.31691500236321779</v>
      </c>
    </row>
    <row r="804" spans="19:21" x14ac:dyDescent="0.25">
      <c r="S804" s="11">
        <v>786</v>
      </c>
      <c r="T804" s="4">
        <v>198.00436502646093</v>
      </c>
      <c r="U804" s="7">
        <v>0.59141910485822957</v>
      </c>
    </row>
    <row r="805" spans="19:21" x14ac:dyDescent="0.25">
      <c r="S805" s="11">
        <v>787</v>
      </c>
      <c r="T805" s="4">
        <v>105.57743374603881</v>
      </c>
      <c r="U805" s="7">
        <v>-0.15144322660312803</v>
      </c>
    </row>
    <row r="806" spans="19:21" x14ac:dyDescent="0.25">
      <c r="S806" s="11">
        <v>788</v>
      </c>
      <c r="T806" s="4">
        <v>219.42230490332784</v>
      </c>
      <c r="U806" s="7">
        <v>0.76356136395537555</v>
      </c>
    </row>
    <row r="807" spans="19:21" x14ac:dyDescent="0.25">
      <c r="S807" s="11">
        <v>789</v>
      </c>
      <c r="T807" s="4">
        <v>98.037703000614869</v>
      </c>
      <c r="U807" s="7">
        <v>-0.21204225204456784</v>
      </c>
    </row>
    <row r="808" spans="19:21" x14ac:dyDescent="0.25">
      <c r="S808" s="11">
        <v>790</v>
      </c>
      <c r="T808" s="4">
        <v>135.17635139527215</v>
      </c>
      <c r="U808" s="7">
        <v>8.6451948201833773E-2</v>
      </c>
    </row>
    <row r="809" spans="19:21" x14ac:dyDescent="0.25">
      <c r="S809" s="11">
        <v>791</v>
      </c>
      <c r="T809" s="4">
        <v>120.29084495185462</v>
      </c>
      <c r="U809" s="7">
        <v>-3.3187229128318396E-2</v>
      </c>
    </row>
    <row r="810" spans="19:21" x14ac:dyDescent="0.25">
      <c r="S810" s="11">
        <v>792</v>
      </c>
      <c r="T810" s="4">
        <v>196.50339839716358</v>
      </c>
      <c r="U810" s="7">
        <v>0.57935539621574961</v>
      </c>
    </row>
    <row r="811" spans="19:21" x14ac:dyDescent="0.25">
      <c r="S811" s="11">
        <v>793</v>
      </c>
      <c r="T811" s="4">
        <v>282.13090621111172</v>
      </c>
      <c r="U811" s="7">
        <v>1.2675687687760147</v>
      </c>
    </row>
    <row r="812" spans="19:21" x14ac:dyDescent="0.25">
      <c r="S812" s="11">
        <v>794</v>
      </c>
      <c r="T812" s="4">
        <v>123.6644214099318</v>
      </c>
      <c r="U812" s="7">
        <v>-6.0728065429046518E-3</v>
      </c>
    </row>
    <row r="813" spans="19:21" x14ac:dyDescent="0.25">
      <c r="S813" s="11">
        <v>795</v>
      </c>
      <c r="T813" s="4">
        <v>175.06332462208547</v>
      </c>
      <c r="U813" s="7">
        <v>0.40703524049256923</v>
      </c>
    </row>
    <row r="814" spans="19:21" x14ac:dyDescent="0.25">
      <c r="S814" s="11">
        <v>796</v>
      </c>
      <c r="T814" s="4">
        <v>136.41968270256464</v>
      </c>
      <c r="U814" s="7">
        <v>9.6444966263981913E-2</v>
      </c>
    </row>
    <row r="815" spans="19:21" x14ac:dyDescent="0.25">
      <c r="S815" s="11">
        <v>797</v>
      </c>
      <c r="T815" s="4">
        <v>254.86842485786454</v>
      </c>
      <c r="U815" s="7">
        <v>1.0484522171504946</v>
      </c>
    </row>
    <row r="816" spans="19:21" x14ac:dyDescent="0.25">
      <c r="S816" s="11">
        <v>798</v>
      </c>
      <c r="T816" s="4">
        <v>272.08205521176342</v>
      </c>
      <c r="U816" s="7">
        <v>1.1868032085819276</v>
      </c>
    </row>
    <row r="817" spans="19:21" x14ac:dyDescent="0.25">
      <c r="S817" s="11">
        <v>799</v>
      </c>
      <c r="T817" s="4">
        <v>202.20834806059898</v>
      </c>
      <c r="U817" s="7">
        <v>0.62520774843754201</v>
      </c>
    </row>
    <row r="818" spans="19:21" x14ac:dyDescent="0.25">
      <c r="S818" s="11">
        <v>800</v>
      </c>
      <c r="T818" s="4">
        <v>120.94028148389673</v>
      </c>
      <c r="U818" s="7">
        <v>-2.796751740960679E-2</v>
      </c>
    </row>
    <row r="819" spans="19:21" x14ac:dyDescent="0.25">
      <c r="S819" s="11">
        <v>801</v>
      </c>
      <c r="T819" s="4">
        <v>211.12476317417824</v>
      </c>
      <c r="U819" s="7">
        <v>0.69687158956902628</v>
      </c>
    </row>
    <row r="820" spans="19:21" x14ac:dyDescent="0.25">
      <c r="S820" s="11">
        <v>802</v>
      </c>
      <c r="T820" s="4">
        <v>118.42713847606099</v>
      </c>
      <c r="U820" s="7">
        <v>-4.8166384214266333E-2</v>
      </c>
    </row>
    <row r="821" spans="19:21" x14ac:dyDescent="0.25">
      <c r="S821" s="11">
        <v>803</v>
      </c>
      <c r="T821" s="4">
        <v>129.99197149286903</v>
      </c>
      <c r="U821" s="7">
        <v>4.4783567697066484E-2</v>
      </c>
    </row>
    <row r="822" spans="19:21" x14ac:dyDescent="0.25">
      <c r="S822" s="11">
        <v>804</v>
      </c>
      <c r="T822" s="4">
        <v>101.37268463723964</v>
      </c>
      <c r="U822" s="7">
        <v>-0.18523802734898209</v>
      </c>
    </row>
    <row r="823" spans="19:21" x14ac:dyDescent="0.25">
      <c r="S823" s="11">
        <v>805</v>
      </c>
      <c r="T823" s="4">
        <v>106.41336720043201</v>
      </c>
      <c r="U823" s="7">
        <v>-0.14472458446847769</v>
      </c>
    </row>
    <row r="824" spans="19:21" x14ac:dyDescent="0.25">
      <c r="S824" s="11">
        <v>806</v>
      </c>
      <c r="T824" s="4">
        <v>131.18954278108325</v>
      </c>
      <c r="U824" s="7">
        <v>5.440879907638041E-2</v>
      </c>
    </row>
    <row r="825" spans="19:21" x14ac:dyDescent="0.25">
      <c r="S825" s="11">
        <v>807</v>
      </c>
      <c r="T825" s="4">
        <v>316.46094245227357</v>
      </c>
      <c r="U825" s="7">
        <v>1.5434893301098986</v>
      </c>
    </row>
    <row r="826" spans="19:21" x14ac:dyDescent="0.25">
      <c r="S826" s="11">
        <v>808</v>
      </c>
      <c r="T826" s="4">
        <v>126.49857330198819</v>
      </c>
      <c r="U826" s="7">
        <v>1.6706102732584771E-2</v>
      </c>
    </row>
    <row r="827" spans="19:21" x14ac:dyDescent="0.25">
      <c r="S827" s="11">
        <v>809</v>
      </c>
      <c r="T827" s="4">
        <v>94.693662139143953</v>
      </c>
      <c r="U827" s="7">
        <v>-0.23891928838495458</v>
      </c>
    </row>
    <row r="828" spans="19:21" x14ac:dyDescent="0.25">
      <c r="S828" s="11">
        <v>810</v>
      </c>
      <c r="T828" s="4">
        <v>145.07083251657085</v>
      </c>
      <c r="U828" s="7">
        <v>0.16597679244953256</v>
      </c>
    </row>
    <row r="829" spans="19:21" x14ac:dyDescent="0.25">
      <c r="S829" s="11">
        <v>811</v>
      </c>
      <c r="T829" s="4">
        <v>205.97838088361465</v>
      </c>
      <c r="U829" s="7">
        <v>0.65550860700542235</v>
      </c>
    </row>
    <row r="830" spans="19:21" x14ac:dyDescent="0.25">
      <c r="S830" s="11">
        <v>812</v>
      </c>
      <c r="T830" s="4">
        <v>386.67977635039017</v>
      </c>
      <c r="U830" s="7">
        <v>2.1078586750553785</v>
      </c>
    </row>
    <row r="831" spans="19:21" x14ac:dyDescent="0.25">
      <c r="S831" s="11">
        <v>813</v>
      </c>
      <c r="T831" s="4">
        <v>145.00015166265848</v>
      </c>
      <c r="U831" s="7">
        <v>0.16540870971434241</v>
      </c>
    </row>
    <row r="832" spans="19:21" x14ac:dyDescent="0.25">
      <c r="S832" s="11">
        <v>814</v>
      </c>
      <c r="T832" s="4">
        <v>144.02187973056346</v>
      </c>
      <c r="U832" s="7">
        <v>0.15754605152357692</v>
      </c>
    </row>
    <row r="833" spans="19:21" x14ac:dyDescent="0.25">
      <c r="S833" s="11">
        <v>815</v>
      </c>
      <c r="T833" s="4">
        <v>148.34948081225366</v>
      </c>
      <c r="U833" s="7">
        <v>0.19232824957606209</v>
      </c>
    </row>
    <row r="834" spans="19:21" x14ac:dyDescent="0.25">
      <c r="S834" s="11">
        <v>816</v>
      </c>
      <c r="T834" s="4">
        <v>160.17943320351608</v>
      </c>
      <c r="U834" s="7">
        <v>0.28740904359038799</v>
      </c>
    </row>
    <row r="835" spans="19:21" x14ac:dyDescent="0.25">
      <c r="S835" s="11">
        <v>817</v>
      </c>
      <c r="T835" s="4">
        <v>383.41704593430887</v>
      </c>
      <c r="U835" s="7">
        <v>2.0816351545917766</v>
      </c>
    </row>
    <row r="836" spans="19:21" x14ac:dyDescent="0.25">
      <c r="S836" s="11">
        <v>818</v>
      </c>
      <c r="T836" s="4">
        <v>213.08349533944317</v>
      </c>
      <c r="U836" s="7">
        <v>0.71261449396755494</v>
      </c>
    </row>
    <row r="837" spans="19:21" x14ac:dyDescent="0.25">
      <c r="S837" s="11">
        <v>819</v>
      </c>
      <c r="T837" s="4">
        <v>250.5096462485661</v>
      </c>
      <c r="U837" s="7">
        <v>1.0134194361723687</v>
      </c>
    </row>
    <row r="838" spans="19:21" x14ac:dyDescent="0.25">
      <c r="S838" s="11">
        <v>820</v>
      </c>
      <c r="T838" s="4">
        <v>173.88684911621715</v>
      </c>
      <c r="U838" s="7">
        <v>0.39757956209787126</v>
      </c>
    </row>
    <row r="839" spans="19:21" x14ac:dyDescent="0.25">
      <c r="S839" s="11">
        <v>821</v>
      </c>
      <c r="T839" s="4">
        <v>201.92818332128846</v>
      </c>
      <c r="U839" s="7">
        <v>0.62295598232831106</v>
      </c>
    </row>
    <row r="840" spans="19:21" x14ac:dyDescent="0.25">
      <c r="S840" s="11">
        <v>822</v>
      </c>
      <c r="T840" s="4">
        <v>165.06527949436838</v>
      </c>
      <c r="U840" s="7">
        <v>0.32667802197691986</v>
      </c>
    </row>
    <row r="841" spans="19:21" x14ac:dyDescent="0.25">
      <c r="S841" s="11">
        <v>823</v>
      </c>
      <c r="T841" s="4">
        <v>305.87876052706429</v>
      </c>
      <c r="U841" s="7">
        <v>1.4584372329775301</v>
      </c>
    </row>
    <row r="842" spans="19:21" x14ac:dyDescent="0.25">
      <c r="S842" s="11">
        <v>824</v>
      </c>
      <c r="T842" s="4">
        <v>77.465731087450877</v>
      </c>
      <c r="U842" s="7">
        <v>-0.37738521871523167</v>
      </c>
    </row>
    <row r="843" spans="19:21" x14ac:dyDescent="0.25">
      <c r="S843" s="11">
        <v>825</v>
      </c>
      <c r="T843" s="4">
        <v>264.71548812092306</v>
      </c>
      <c r="U843" s="7">
        <v>1.1275959501762021</v>
      </c>
    </row>
    <row r="844" spans="19:21" x14ac:dyDescent="0.25">
      <c r="S844" s="11">
        <v>826</v>
      </c>
      <c r="T844" s="4">
        <v>58.48517601054813</v>
      </c>
      <c r="U844" s="7">
        <v>-0.52993750192454492</v>
      </c>
    </row>
    <row r="845" spans="19:21" x14ac:dyDescent="0.25">
      <c r="S845" s="11">
        <v>827</v>
      </c>
      <c r="T845" s="4">
        <v>142.14004113544803</v>
      </c>
      <c r="U845" s="7">
        <v>0.14242116328120913</v>
      </c>
    </row>
    <row r="846" spans="19:21" x14ac:dyDescent="0.25">
      <c r="S846" s="11">
        <v>828</v>
      </c>
      <c r="T846" s="4">
        <v>422.37059617207831</v>
      </c>
      <c r="U846" s="7">
        <v>2.39471625278957</v>
      </c>
    </row>
    <row r="847" spans="19:21" x14ac:dyDescent="0.25">
      <c r="S847" s="11">
        <v>829</v>
      </c>
      <c r="T847" s="4">
        <v>191.14316432060463</v>
      </c>
      <c r="U847" s="7">
        <v>0.53627362418103708</v>
      </c>
    </row>
    <row r="848" spans="19:21" x14ac:dyDescent="0.25">
      <c r="S848" s="11">
        <v>830</v>
      </c>
      <c r="T848" s="4">
        <v>166.65605985104949</v>
      </c>
      <c r="U848" s="7">
        <v>0.33946358986537128</v>
      </c>
    </row>
    <row r="849" spans="19:21" x14ac:dyDescent="0.25">
      <c r="S849" s="11">
        <v>831</v>
      </c>
      <c r="T849" s="4">
        <v>208.39440781126316</v>
      </c>
      <c r="U849" s="7">
        <v>0.67492692341474969</v>
      </c>
    </row>
    <row r="850" spans="19:21" x14ac:dyDescent="0.25">
      <c r="S850" s="11">
        <v>832</v>
      </c>
      <c r="T850" s="4">
        <v>240.4893433633375</v>
      </c>
      <c r="U850" s="7">
        <v>0.93288332553719244</v>
      </c>
    </row>
    <row r="851" spans="19:21" x14ac:dyDescent="0.25">
      <c r="S851" s="11">
        <v>833</v>
      </c>
      <c r="T851" s="4">
        <v>133.80598572958692</v>
      </c>
      <c r="U851" s="7">
        <v>7.5437917775172059E-2</v>
      </c>
    </row>
    <row r="852" spans="19:21" x14ac:dyDescent="0.25">
      <c r="S852" s="11">
        <v>834</v>
      </c>
      <c r="T852" s="4">
        <v>83.034151121925021</v>
      </c>
      <c r="U852" s="7">
        <v>-0.33263019513000303</v>
      </c>
    </row>
    <row r="853" spans="19:21" x14ac:dyDescent="0.25">
      <c r="S853" s="11">
        <v>835</v>
      </c>
      <c r="T853" s="4">
        <v>108.13123839271327</v>
      </c>
      <c r="U853" s="7">
        <v>-0.13091755029164709</v>
      </c>
    </row>
    <row r="854" spans="19:21" x14ac:dyDescent="0.25">
      <c r="S854" s="11">
        <v>836</v>
      </c>
      <c r="T854" s="4">
        <v>63.814390674285306</v>
      </c>
      <c r="U854" s="7">
        <v>-0.48710504200060034</v>
      </c>
    </row>
    <row r="855" spans="19:21" x14ac:dyDescent="0.25">
      <c r="S855" s="11">
        <v>837</v>
      </c>
      <c r="T855" s="4">
        <v>121.36855428001533</v>
      </c>
      <c r="U855" s="7">
        <v>-2.45253634462681E-2</v>
      </c>
    </row>
    <row r="856" spans="19:21" x14ac:dyDescent="0.25">
      <c r="S856" s="11">
        <v>838</v>
      </c>
      <c r="T856" s="4">
        <v>308.07922803001657</v>
      </c>
      <c r="U856" s="7">
        <v>1.4761230351231038</v>
      </c>
    </row>
    <row r="857" spans="19:21" x14ac:dyDescent="0.25">
      <c r="S857" s="11">
        <v>839</v>
      </c>
      <c r="T857" s="4">
        <v>106.67015185755645</v>
      </c>
      <c r="U857" s="7">
        <v>-0.14266073093106857</v>
      </c>
    </row>
    <row r="858" spans="19:21" x14ac:dyDescent="0.25">
      <c r="S858" s="11">
        <v>840</v>
      </c>
      <c r="T858" s="4">
        <v>58.78650148345104</v>
      </c>
      <c r="U858" s="7">
        <v>-0.52751566079849677</v>
      </c>
    </row>
    <row r="859" spans="19:21" x14ac:dyDescent="0.25">
      <c r="S859" s="11">
        <v>841</v>
      </c>
      <c r="T859" s="4">
        <v>138.90658438333668</v>
      </c>
      <c r="U859" s="7">
        <v>0.11643292383327974</v>
      </c>
    </row>
    <row r="860" spans="19:21" x14ac:dyDescent="0.25">
      <c r="S860" s="11">
        <v>842</v>
      </c>
      <c r="T860" s="4">
        <v>273.43317592680933</v>
      </c>
      <c r="U860" s="7">
        <v>1.1976625617007661</v>
      </c>
    </row>
    <row r="861" spans="19:21" x14ac:dyDescent="0.25">
      <c r="S861" s="11">
        <v>843</v>
      </c>
      <c r="T861" s="4">
        <v>222.556305065244</v>
      </c>
      <c r="U861" s="7">
        <v>0.78875024164317642</v>
      </c>
    </row>
    <row r="862" spans="19:21" x14ac:dyDescent="0.25">
      <c r="S862" s="11">
        <v>844</v>
      </c>
      <c r="T862" s="4">
        <v>183.53590602276569</v>
      </c>
      <c r="U862" s="7">
        <v>0.47513186001258378</v>
      </c>
    </row>
    <row r="863" spans="19:21" x14ac:dyDescent="0.25">
      <c r="S863" s="11">
        <v>845</v>
      </c>
      <c r="T863" s="4">
        <v>285.89007851711739</v>
      </c>
      <c r="U863" s="7">
        <v>1.2977823381861229</v>
      </c>
    </row>
    <row r="864" spans="19:21" x14ac:dyDescent="0.25">
      <c r="S864" s="11">
        <v>846</v>
      </c>
      <c r="T864" s="4">
        <v>338.18172026615582</v>
      </c>
      <c r="U864" s="7">
        <v>1.7180655864503764</v>
      </c>
    </row>
    <row r="865" spans="19:21" x14ac:dyDescent="0.25">
      <c r="S865" s="11">
        <v>847</v>
      </c>
      <c r="T865" s="4">
        <v>139.6474838161875</v>
      </c>
      <c r="U865" s="7">
        <v>0.12238774968805255</v>
      </c>
    </row>
    <row r="866" spans="19:21" x14ac:dyDescent="0.25">
      <c r="S866" s="11">
        <v>848</v>
      </c>
      <c r="T866" s="4">
        <v>204.36536156695115</v>
      </c>
      <c r="U866" s="7">
        <v>0.6425442980786944</v>
      </c>
    </row>
    <row r="867" spans="19:21" x14ac:dyDescent="0.25">
      <c r="S867" s="11">
        <v>849</v>
      </c>
      <c r="T867" s="4">
        <v>135.44405204109114</v>
      </c>
      <c r="U867" s="7">
        <v>8.8603536739199074E-2</v>
      </c>
    </row>
    <row r="868" spans="19:21" x14ac:dyDescent="0.25">
      <c r="S868" s="11">
        <v>850</v>
      </c>
      <c r="T868" s="4">
        <v>362.7974100059073</v>
      </c>
      <c r="U868" s="7">
        <v>1.9159090982631994</v>
      </c>
    </row>
    <row r="869" spans="19:21" x14ac:dyDescent="0.25">
      <c r="S869" s="11">
        <v>851</v>
      </c>
      <c r="T869" s="4">
        <v>170.93943431819397</v>
      </c>
      <c r="U869" s="7">
        <v>0.37389032565659841</v>
      </c>
    </row>
    <row r="870" spans="19:21" x14ac:dyDescent="0.25">
      <c r="S870" s="11">
        <v>852</v>
      </c>
      <c r="T870" s="4">
        <v>156.33999673282298</v>
      </c>
      <c r="U870" s="7">
        <v>0.25655036756809979</v>
      </c>
    </row>
    <row r="871" spans="19:21" x14ac:dyDescent="0.25">
      <c r="S871" s="11">
        <v>853</v>
      </c>
      <c r="T871" s="4">
        <v>142.95284802306071</v>
      </c>
      <c r="U871" s="7">
        <v>0.14895393042164207</v>
      </c>
    </row>
    <row r="872" spans="19:21" x14ac:dyDescent="0.25">
      <c r="S872" s="11">
        <v>854</v>
      </c>
      <c r="T872" s="4">
        <v>98.91587129300872</v>
      </c>
      <c r="U872" s="7">
        <v>-0.20498415614042176</v>
      </c>
    </row>
    <row r="873" spans="19:21" x14ac:dyDescent="0.25">
      <c r="S873" s="11">
        <v>855</v>
      </c>
      <c r="T873" s="4">
        <v>221.23696685316008</v>
      </c>
      <c r="U873" s="7">
        <v>0.77814633381417853</v>
      </c>
    </row>
    <row r="874" spans="19:21" x14ac:dyDescent="0.25">
      <c r="S874" s="11">
        <v>856</v>
      </c>
      <c r="T874" s="4">
        <v>227.64529920913535</v>
      </c>
      <c r="U874" s="7">
        <v>0.82965197885496988</v>
      </c>
    </row>
    <row r="875" spans="19:21" x14ac:dyDescent="0.25">
      <c r="S875" s="11">
        <v>857</v>
      </c>
      <c r="T875" s="4">
        <v>228.47962102449605</v>
      </c>
      <c r="U875" s="7">
        <v>0.83635766777444176</v>
      </c>
    </row>
    <row r="876" spans="19:21" x14ac:dyDescent="0.25">
      <c r="S876" s="11">
        <v>858</v>
      </c>
      <c r="T876" s="4">
        <v>182.69969932364256</v>
      </c>
      <c r="U876" s="7">
        <v>0.46841102172996751</v>
      </c>
    </row>
    <row r="877" spans="19:21" x14ac:dyDescent="0.25">
      <c r="S877" s="11">
        <v>859</v>
      </c>
      <c r="T877" s="4">
        <v>469.62972904005107</v>
      </c>
      <c r="U877" s="7">
        <v>2.7745517524517846</v>
      </c>
    </row>
    <row r="878" spans="19:21" x14ac:dyDescent="0.25">
      <c r="S878" s="11">
        <v>860</v>
      </c>
      <c r="T878" s="4">
        <v>373.20956804846423</v>
      </c>
      <c r="U878" s="7">
        <v>1.9995946636269428</v>
      </c>
    </row>
    <row r="879" spans="19:21" x14ac:dyDescent="0.25">
      <c r="S879" s="11">
        <v>861</v>
      </c>
      <c r="T879" s="4">
        <v>229.80474745468098</v>
      </c>
      <c r="U879" s="7">
        <v>0.84700809720849524</v>
      </c>
    </row>
    <row r="880" spans="19:21" x14ac:dyDescent="0.25">
      <c r="S880" s="11">
        <v>862</v>
      </c>
      <c r="T880" s="4">
        <v>223.04887161304165</v>
      </c>
      <c r="U880" s="7">
        <v>0.79270914332938158</v>
      </c>
    </row>
    <row r="881" spans="19:21" x14ac:dyDescent="0.25">
      <c r="S881" s="11">
        <v>863</v>
      </c>
      <c r="T881" s="4">
        <v>185.36476481458055</v>
      </c>
      <c r="U881" s="7">
        <v>0.48983093405063927</v>
      </c>
    </row>
    <row r="882" spans="19:21" x14ac:dyDescent="0.25">
      <c r="S882" s="11">
        <v>864</v>
      </c>
      <c r="T882" s="4">
        <v>205.68945850514757</v>
      </c>
      <c r="U882" s="7">
        <v>0.65318645318395419</v>
      </c>
    </row>
    <row r="883" spans="19:21" x14ac:dyDescent="0.25">
      <c r="S883" s="11">
        <v>865</v>
      </c>
      <c r="T883" s="4">
        <v>93.220098606491916</v>
      </c>
      <c r="U883" s="7">
        <v>-0.25076275030950079</v>
      </c>
    </row>
    <row r="884" spans="19:21" x14ac:dyDescent="0.25">
      <c r="S884" s="11">
        <v>866</v>
      </c>
      <c r="T884" s="4">
        <v>183.74033997478764</v>
      </c>
      <c r="U884" s="7">
        <v>0.47677495559224914</v>
      </c>
    </row>
    <row r="885" spans="19:21" x14ac:dyDescent="0.25">
      <c r="S885" s="11">
        <v>867</v>
      </c>
      <c r="T885" s="4">
        <v>71.552996344905992</v>
      </c>
      <c r="U885" s="7">
        <v>-0.42490760050710508</v>
      </c>
    </row>
    <row r="886" spans="19:21" x14ac:dyDescent="0.25">
      <c r="S886" s="11">
        <v>868</v>
      </c>
      <c r="T886" s="4">
        <v>218.52350531616858</v>
      </c>
      <c r="U886" s="7">
        <v>0.75633744828941141</v>
      </c>
    </row>
    <row r="887" spans="19:21" x14ac:dyDescent="0.25">
      <c r="S887" s="11">
        <v>869</v>
      </c>
      <c r="T887" s="4">
        <v>188.11809855270764</v>
      </c>
      <c r="U887" s="7">
        <v>0.511960284140071</v>
      </c>
    </row>
    <row r="888" spans="19:21" x14ac:dyDescent="0.25">
      <c r="S888" s="11">
        <v>870</v>
      </c>
      <c r="T888" s="4">
        <v>125.75990837640462</v>
      </c>
      <c r="U888" s="7">
        <v>1.0769236267518245E-2</v>
      </c>
    </row>
    <row r="889" spans="19:21" x14ac:dyDescent="0.25">
      <c r="S889" s="11">
        <v>871</v>
      </c>
      <c r="T889" s="4">
        <v>165.64034037124387</v>
      </c>
      <c r="U889" s="7">
        <v>0.33129995476003749</v>
      </c>
    </row>
    <row r="890" spans="19:21" x14ac:dyDescent="0.25">
      <c r="S890" s="11">
        <v>872</v>
      </c>
      <c r="T890" s="4">
        <v>127.22286729696633</v>
      </c>
      <c r="U890" s="7">
        <v>2.252746581712195E-2</v>
      </c>
    </row>
    <row r="891" spans="19:21" x14ac:dyDescent="0.25">
      <c r="S891" s="11">
        <v>873</v>
      </c>
      <c r="T891" s="4">
        <v>153.19357286401953</v>
      </c>
      <c r="U891" s="7">
        <v>0.23126163690740653</v>
      </c>
    </row>
    <row r="892" spans="19:21" x14ac:dyDescent="0.25">
      <c r="S892" s="11">
        <v>874</v>
      </c>
      <c r="T892" s="4">
        <v>287.92747447731301</v>
      </c>
      <c r="U892" s="7">
        <v>1.3141574865561245</v>
      </c>
    </row>
    <row r="893" spans="19:21" x14ac:dyDescent="0.25">
      <c r="S893" s="11">
        <v>875</v>
      </c>
      <c r="T893" s="4">
        <v>146.91168309204423</v>
      </c>
      <c r="U893" s="7">
        <v>0.18077224796692026</v>
      </c>
    </row>
    <row r="894" spans="19:21" x14ac:dyDescent="0.25">
      <c r="S894" s="11">
        <v>876</v>
      </c>
      <c r="T894" s="4">
        <v>205.75830465875489</v>
      </c>
      <c r="U894" s="7">
        <v>0.65373978989515269</v>
      </c>
    </row>
    <row r="895" spans="19:21" x14ac:dyDescent="0.25">
      <c r="S895" s="11">
        <v>877</v>
      </c>
      <c r="T895" s="4">
        <v>103.72126582443394</v>
      </c>
      <c r="U895" s="7">
        <v>-0.16636179211996516</v>
      </c>
    </row>
    <row r="896" spans="19:21" x14ac:dyDescent="0.25">
      <c r="S896" s="11">
        <v>878</v>
      </c>
      <c r="T896" s="4">
        <v>146.19074042992759</v>
      </c>
      <c r="U896" s="7">
        <v>0.17497782052666433</v>
      </c>
    </row>
    <row r="897" spans="19:21" x14ac:dyDescent="0.25">
      <c r="S897" s="11">
        <v>879</v>
      </c>
      <c r="T897" s="4">
        <v>124.80247960355776</v>
      </c>
      <c r="U897" s="7">
        <v>3.0741006555035089E-3</v>
      </c>
    </row>
    <row r="898" spans="19:21" x14ac:dyDescent="0.25">
      <c r="S898" s="11">
        <v>880</v>
      </c>
      <c r="T898" s="4">
        <v>104.33432867362976</v>
      </c>
      <c r="U898" s="7">
        <v>-0.16143442634922234</v>
      </c>
    </row>
    <row r="899" spans="19:21" x14ac:dyDescent="0.25">
      <c r="S899" s="11">
        <v>881</v>
      </c>
      <c r="T899" s="4">
        <v>221.49437618186261</v>
      </c>
      <c r="U899" s="7">
        <v>0.78021520802011413</v>
      </c>
    </row>
    <row r="900" spans="19:21" x14ac:dyDescent="0.25">
      <c r="S900" s="11">
        <v>882</v>
      </c>
      <c r="T900" s="4">
        <v>282.64460048685095</v>
      </c>
      <c r="U900" s="7">
        <v>1.271697480202949</v>
      </c>
    </row>
    <row r="901" spans="19:21" x14ac:dyDescent="0.25">
      <c r="S901" s="11">
        <v>883</v>
      </c>
      <c r="T901" s="4">
        <v>221.06968430127267</v>
      </c>
      <c r="U901" s="7">
        <v>0.77680183492422983</v>
      </c>
    </row>
    <row r="902" spans="19:21" x14ac:dyDescent="0.25">
      <c r="S902" s="11">
        <v>884</v>
      </c>
      <c r="T902" s="4">
        <v>229.95628998673533</v>
      </c>
      <c r="U902" s="7">
        <v>0.8482260889465949</v>
      </c>
    </row>
    <row r="903" spans="19:21" x14ac:dyDescent="0.25">
      <c r="S903" s="11">
        <v>885</v>
      </c>
      <c r="T903" s="4">
        <v>88.063473336485956</v>
      </c>
      <c r="U903" s="7">
        <v>-0.29220805870048261</v>
      </c>
    </row>
    <row r="904" spans="19:21" x14ac:dyDescent="0.25">
      <c r="S904" s="11">
        <v>886</v>
      </c>
      <c r="T904" s="4">
        <v>204.96460712615962</v>
      </c>
      <c r="U904" s="7">
        <v>0.64736061024079428</v>
      </c>
    </row>
    <row r="905" spans="19:21" x14ac:dyDescent="0.25">
      <c r="S905" s="11">
        <v>887</v>
      </c>
      <c r="T905" s="4">
        <v>108.96306654193427</v>
      </c>
      <c r="U905" s="7">
        <v>-0.12423190369768311</v>
      </c>
    </row>
    <row r="906" spans="19:21" x14ac:dyDescent="0.25">
      <c r="S906" s="11">
        <v>888</v>
      </c>
      <c r="T906" s="4">
        <v>85.06343160722372</v>
      </c>
      <c r="U906" s="7">
        <v>-0.31632027320990419</v>
      </c>
    </row>
    <row r="907" spans="19:21" x14ac:dyDescent="0.25">
      <c r="S907" s="11">
        <v>889</v>
      </c>
      <c r="T907" s="4">
        <v>134.6814137396988</v>
      </c>
      <c r="U907" s="7">
        <v>8.2473989227606515E-2</v>
      </c>
    </row>
    <row r="908" spans="19:21" x14ac:dyDescent="0.25">
      <c r="S908" s="11">
        <v>890</v>
      </c>
      <c r="T908" s="4">
        <v>139.31790450018161</v>
      </c>
      <c r="U908" s="7">
        <v>0.11973882414548798</v>
      </c>
    </row>
    <row r="909" spans="19:21" x14ac:dyDescent="0.25">
      <c r="S909" s="11">
        <v>891</v>
      </c>
      <c r="T909" s="4">
        <v>114.28224939498934</v>
      </c>
      <c r="U909" s="7">
        <v>-8.1480072375909596E-2</v>
      </c>
    </row>
    <row r="910" spans="19:21" x14ac:dyDescent="0.25">
      <c r="S910" s="11">
        <v>892</v>
      </c>
      <c r="T910" s="4">
        <v>127.70469323684991</v>
      </c>
      <c r="U910" s="7">
        <v>2.6400042090097386E-2</v>
      </c>
    </row>
    <row r="911" spans="19:21" x14ac:dyDescent="0.25">
      <c r="S911" s="11">
        <v>893</v>
      </c>
      <c r="T911" s="4">
        <v>117.84389707901039</v>
      </c>
      <c r="U911" s="7">
        <v>-5.2854066235248465E-2</v>
      </c>
    </row>
    <row r="912" spans="19:21" x14ac:dyDescent="0.25">
      <c r="S912" s="11">
        <v>894</v>
      </c>
      <c r="T912" s="4">
        <v>109.99024958262265</v>
      </c>
      <c r="U912" s="7">
        <v>-0.1159761325942561</v>
      </c>
    </row>
    <row r="913" spans="19:21" x14ac:dyDescent="0.25">
      <c r="S913" s="11">
        <v>895</v>
      </c>
      <c r="T913" s="4">
        <v>244.46817005013472</v>
      </c>
      <c r="U913" s="7">
        <v>0.96486232157317731</v>
      </c>
    </row>
    <row r="914" spans="19:21" x14ac:dyDescent="0.25">
      <c r="S914" s="11">
        <v>896</v>
      </c>
      <c r="T914" s="4">
        <v>94.629626439540218</v>
      </c>
      <c r="U914" s="7">
        <v>-0.23943396206767231</v>
      </c>
    </row>
    <row r="915" spans="19:21" x14ac:dyDescent="0.25">
      <c r="S915" s="11">
        <v>897</v>
      </c>
      <c r="T915" s="4">
        <v>184.82235636659104</v>
      </c>
      <c r="U915" s="7">
        <v>0.48547143840693652</v>
      </c>
    </row>
    <row r="916" spans="19:21" x14ac:dyDescent="0.25">
      <c r="S916" s="11">
        <v>898</v>
      </c>
      <c r="T916" s="4">
        <v>141.50336964760407</v>
      </c>
      <c r="U916" s="7">
        <v>0.13730404796338269</v>
      </c>
    </row>
    <row r="917" spans="19:21" x14ac:dyDescent="0.25">
      <c r="S917" s="11">
        <v>899</v>
      </c>
      <c r="T917" s="4">
        <v>281.02498349685357</v>
      </c>
      <c r="U917" s="7">
        <v>1.2586801438422563</v>
      </c>
    </row>
    <row r="918" spans="19:21" x14ac:dyDescent="0.25">
      <c r="S918" s="11">
        <v>900</v>
      </c>
      <c r="T918" s="4">
        <v>98.442503665711058</v>
      </c>
      <c r="U918" s="7">
        <v>-0.20878875047652257</v>
      </c>
    </row>
    <row r="919" spans="19:21" x14ac:dyDescent="0.25">
      <c r="S919" s="11">
        <v>901</v>
      </c>
      <c r="T919" s="4">
        <v>97.439471453167542</v>
      </c>
      <c r="U919" s="7">
        <v>-0.2168504142969977</v>
      </c>
    </row>
    <row r="920" spans="19:21" x14ac:dyDescent="0.25">
      <c r="S920" s="11">
        <v>902</v>
      </c>
      <c r="T920" s="4">
        <v>182.14355522663854</v>
      </c>
      <c r="U920" s="7">
        <v>0.46394112865004455</v>
      </c>
    </row>
    <row r="921" spans="19:21" x14ac:dyDescent="0.25">
      <c r="S921" s="11">
        <v>903</v>
      </c>
      <c r="T921" s="4">
        <v>129.66437548834509</v>
      </c>
      <c r="U921" s="7">
        <v>4.215058261007143E-2</v>
      </c>
    </row>
    <row r="922" spans="19:21" x14ac:dyDescent="0.25">
      <c r="S922" s="11">
        <v>904</v>
      </c>
      <c r="T922" s="4">
        <v>196.26869745663916</v>
      </c>
      <c r="U922" s="7">
        <v>0.57746903598006072</v>
      </c>
    </row>
    <row r="923" spans="19:21" x14ac:dyDescent="0.25">
      <c r="S923" s="11">
        <v>905</v>
      </c>
      <c r="T923" s="4">
        <v>91.258376488226091</v>
      </c>
      <c r="U923" s="7">
        <v>-0.26652968583647252</v>
      </c>
    </row>
    <row r="924" spans="19:21" x14ac:dyDescent="0.25">
      <c r="S924" s="11">
        <v>906</v>
      </c>
      <c r="T924" s="4">
        <v>181.17906587009276</v>
      </c>
      <c r="U924" s="7">
        <v>0.45618924505781022</v>
      </c>
    </row>
    <row r="925" spans="19:21" x14ac:dyDescent="0.25">
      <c r="S925" s="11">
        <v>907</v>
      </c>
      <c r="T925" s="4">
        <v>190.18505867232741</v>
      </c>
      <c r="U925" s="7">
        <v>0.52857304832283725</v>
      </c>
    </row>
    <row r="926" spans="19:21" x14ac:dyDescent="0.25">
      <c r="S926" s="11">
        <v>908</v>
      </c>
      <c r="T926" s="4">
        <v>199.8957582561961</v>
      </c>
      <c r="U926" s="7">
        <v>0.6066207864989237</v>
      </c>
    </row>
    <row r="927" spans="19:21" x14ac:dyDescent="0.25">
      <c r="S927" s="11">
        <v>909</v>
      </c>
      <c r="T927" s="4">
        <v>81.096277822378738</v>
      </c>
      <c r="U927" s="7">
        <v>-0.34820545071227504</v>
      </c>
    </row>
    <row r="928" spans="19:21" x14ac:dyDescent="0.25">
      <c r="S928" s="11">
        <v>910</v>
      </c>
      <c r="T928" s="4">
        <v>233.24403559170335</v>
      </c>
      <c r="U928" s="7">
        <v>0.87465066381372236</v>
      </c>
    </row>
    <row r="929" spans="19:21" x14ac:dyDescent="0.25">
      <c r="S929" s="11">
        <v>911</v>
      </c>
      <c r="T929" s="4">
        <v>139.28205309994985</v>
      </c>
      <c r="U929" s="7">
        <v>0.1194506759359415</v>
      </c>
    </row>
    <row r="930" spans="19:21" x14ac:dyDescent="0.25">
      <c r="S930" s="11">
        <v>912</v>
      </c>
      <c r="T930" s="4">
        <v>100.62960954941934</v>
      </c>
      <c r="U930" s="7">
        <v>-0.19121033958029787</v>
      </c>
    </row>
    <row r="931" spans="19:21" x14ac:dyDescent="0.25">
      <c r="S931" s="11">
        <v>913</v>
      </c>
      <c r="T931" s="4">
        <v>103.66319209915758</v>
      </c>
      <c r="U931" s="7">
        <v>-0.16682854766791844</v>
      </c>
    </row>
    <row r="932" spans="19:21" x14ac:dyDescent="0.25">
      <c r="S932" s="11">
        <v>914</v>
      </c>
      <c r="T932" s="4">
        <v>316.94534019978829</v>
      </c>
      <c r="U932" s="7">
        <v>1.5473825767544471</v>
      </c>
    </row>
    <row r="933" spans="19:21" x14ac:dyDescent="0.25">
      <c r="S933" s="11">
        <v>915</v>
      </c>
      <c r="T933" s="4">
        <v>101.49345224421558</v>
      </c>
      <c r="U933" s="7">
        <v>-0.18426738270201271</v>
      </c>
    </row>
    <row r="934" spans="19:21" x14ac:dyDescent="0.25">
      <c r="S934" s="11">
        <v>916</v>
      </c>
      <c r="T934" s="4">
        <v>95.534147217026899</v>
      </c>
      <c r="U934" s="7">
        <v>-0.23216406351851071</v>
      </c>
    </row>
    <row r="935" spans="19:21" x14ac:dyDescent="0.25">
      <c r="S935" s="11">
        <v>917</v>
      </c>
      <c r="T935" s="4">
        <v>396.60688931676293</v>
      </c>
      <c r="U935" s="7">
        <v>2.1876457910043636</v>
      </c>
    </row>
    <row r="936" spans="19:21" x14ac:dyDescent="0.25">
      <c r="S936" s="11">
        <v>918</v>
      </c>
      <c r="T936" s="4">
        <v>131.32230625284413</v>
      </c>
      <c r="U936" s="7">
        <v>5.5475858003890988E-2</v>
      </c>
    </row>
    <row r="937" spans="19:21" x14ac:dyDescent="0.25">
      <c r="S937" s="11">
        <v>919</v>
      </c>
      <c r="T937" s="4">
        <v>122.72849746985905</v>
      </c>
      <c r="U937" s="7">
        <v>-1.3595101512143937E-2</v>
      </c>
    </row>
    <row r="938" spans="19:21" x14ac:dyDescent="0.25">
      <c r="S938" s="11">
        <v>920</v>
      </c>
      <c r="T938" s="4">
        <v>77.699621345357926</v>
      </c>
      <c r="U938" s="7">
        <v>-0.37550537417330077</v>
      </c>
    </row>
    <row r="939" spans="19:21" x14ac:dyDescent="0.25">
      <c r="S939" s="11">
        <v>921</v>
      </c>
      <c r="T939" s="4">
        <v>96.002957483099934</v>
      </c>
      <c r="U939" s="7">
        <v>-0.22839609803006</v>
      </c>
    </row>
    <row r="940" spans="19:21" x14ac:dyDescent="0.25">
      <c r="S940" s="11">
        <v>922</v>
      </c>
      <c r="T940" s="4">
        <v>178.63660115521796</v>
      </c>
      <c r="U940" s="7">
        <v>0.43575471110125341</v>
      </c>
    </row>
    <row r="941" spans="19:21" x14ac:dyDescent="0.25">
      <c r="S941" s="11">
        <v>923</v>
      </c>
      <c r="T941" s="4">
        <v>196.93215318565186</v>
      </c>
      <c r="U941" s="7">
        <v>0.58280142409300639</v>
      </c>
    </row>
    <row r="942" spans="19:21" x14ac:dyDescent="0.25">
      <c r="S942" s="11">
        <v>924</v>
      </c>
      <c r="T942" s="4">
        <v>176.67221165638446</v>
      </c>
      <c r="U942" s="7">
        <v>0.41996633705501085</v>
      </c>
    </row>
    <row r="943" spans="19:21" x14ac:dyDescent="0.25">
      <c r="S943" s="11">
        <v>925</v>
      </c>
      <c r="T943" s="4">
        <v>166.52546282929364</v>
      </c>
      <c r="U943" s="7">
        <v>0.33841394333140684</v>
      </c>
    </row>
    <row r="944" spans="19:21" x14ac:dyDescent="0.25">
      <c r="S944" s="11">
        <v>926</v>
      </c>
      <c r="T944" s="4">
        <v>217.35824427664559</v>
      </c>
      <c r="U944" s="7">
        <v>0.74697190384701484</v>
      </c>
    </row>
    <row r="945" spans="19:21" x14ac:dyDescent="0.25">
      <c r="S945" s="11">
        <v>927</v>
      </c>
      <c r="T945" s="4">
        <v>95.974584023038787</v>
      </c>
      <c r="U945" s="7">
        <v>-0.2286241438431218</v>
      </c>
    </row>
    <row r="946" spans="19:21" x14ac:dyDescent="0.25">
      <c r="S946" s="11">
        <v>928</v>
      </c>
      <c r="T946" s="4">
        <v>112.84592171967655</v>
      </c>
      <c r="U946" s="7">
        <v>-9.3024258803435567E-2</v>
      </c>
    </row>
    <row r="947" spans="19:21" x14ac:dyDescent="0.25">
      <c r="S947" s="11">
        <v>929</v>
      </c>
      <c r="T947" s="4">
        <v>230.82843999023129</v>
      </c>
      <c r="U947" s="7">
        <v>0.85523581409927085</v>
      </c>
    </row>
    <row r="948" spans="19:21" x14ac:dyDescent="0.25">
      <c r="S948" s="11">
        <v>930</v>
      </c>
      <c r="T948" s="4">
        <v>147.52416234908992</v>
      </c>
      <c r="U948" s="7">
        <v>0.1856949232365368</v>
      </c>
    </row>
    <row r="949" spans="19:21" x14ac:dyDescent="0.25">
      <c r="S949" s="11">
        <v>931</v>
      </c>
      <c r="T949" s="4">
        <v>414.41340600530077</v>
      </c>
      <c r="U949" s="7">
        <v>2.3307619836465259</v>
      </c>
    </row>
    <row r="950" spans="19:21" x14ac:dyDescent="0.25">
      <c r="S950" s="11">
        <v>932</v>
      </c>
      <c r="T950" s="4">
        <v>69.184888910364364</v>
      </c>
      <c r="U950" s="7">
        <v>-0.44394077390801834</v>
      </c>
    </row>
    <row r="951" spans="19:21" x14ac:dyDescent="0.25">
      <c r="S951" s="11">
        <v>933</v>
      </c>
      <c r="T951" s="4">
        <v>195.23958819525714</v>
      </c>
      <c r="U951" s="7">
        <v>0.56919778327645987</v>
      </c>
    </row>
    <row r="952" spans="19:21" x14ac:dyDescent="0.25">
      <c r="S952" s="11">
        <v>934</v>
      </c>
      <c r="T952" s="4">
        <v>197.04447552107183</v>
      </c>
      <c r="U952" s="7">
        <v>0.58370419161768061</v>
      </c>
    </row>
    <row r="953" spans="19:21" x14ac:dyDescent="0.25">
      <c r="S953" s="11">
        <v>935</v>
      </c>
      <c r="T953" s="4">
        <v>166.7534420470196</v>
      </c>
      <c r="U953" s="7">
        <v>0.34024627911123284</v>
      </c>
    </row>
    <row r="954" spans="19:21" x14ac:dyDescent="0.25">
      <c r="S954" s="11">
        <v>936</v>
      </c>
      <c r="T954" s="4">
        <v>121.00989327727193</v>
      </c>
      <c r="U954" s="7">
        <v>-2.7408027027230886E-2</v>
      </c>
    </row>
    <row r="955" spans="19:21" x14ac:dyDescent="0.25">
      <c r="S955" s="11">
        <v>937</v>
      </c>
      <c r="T955" s="4">
        <v>181.50636466022408</v>
      </c>
      <c r="U955" s="7">
        <v>0.45881984134563636</v>
      </c>
    </row>
    <row r="956" spans="19:21" x14ac:dyDescent="0.25">
      <c r="S956" s="11">
        <v>938</v>
      </c>
      <c r="T956" s="4">
        <v>124.37375346017558</v>
      </c>
      <c r="U956" s="7">
        <v>-3.7169699264127942E-4</v>
      </c>
    </row>
    <row r="957" spans="19:21" x14ac:dyDescent="0.25">
      <c r="S957" s="11">
        <v>939</v>
      </c>
      <c r="T957" s="4">
        <v>233.11240865497669</v>
      </c>
      <c r="U957" s="7">
        <v>0.87359273955133165</v>
      </c>
    </row>
    <row r="958" spans="19:21" x14ac:dyDescent="0.25">
      <c r="S958" s="11">
        <v>940</v>
      </c>
      <c r="T958" s="4">
        <v>141.87986487167942</v>
      </c>
      <c r="U958" s="7">
        <v>0.14033005040732527</v>
      </c>
    </row>
    <row r="959" spans="19:21" x14ac:dyDescent="0.25">
      <c r="S959" s="11">
        <v>941</v>
      </c>
      <c r="T959" s="4">
        <v>190.69122146158108</v>
      </c>
      <c r="U959" s="7">
        <v>0.53264122698586291</v>
      </c>
    </row>
    <row r="960" spans="19:21" x14ac:dyDescent="0.25">
      <c r="S960" s="11">
        <v>942</v>
      </c>
      <c r="T960" s="4">
        <v>84.025944218469434</v>
      </c>
      <c r="U960" s="7">
        <v>-0.32465886337831995</v>
      </c>
    </row>
    <row r="961" spans="19:21" x14ac:dyDescent="0.25">
      <c r="S961" s="11">
        <v>943</v>
      </c>
      <c r="T961" s="4">
        <v>140.19595705228272</v>
      </c>
      <c r="U961" s="7">
        <v>0.12679598981098472</v>
      </c>
    </row>
    <row r="962" spans="19:21" x14ac:dyDescent="0.25">
      <c r="S962" s="11">
        <v>944</v>
      </c>
      <c r="T962" s="4">
        <v>200.603300074506</v>
      </c>
      <c r="U962" s="7">
        <v>0.61230750743052553</v>
      </c>
    </row>
    <row r="963" spans="19:21" x14ac:dyDescent="0.25">
      <c r="S963" s="11">
        <v>945</v>
      </c>
      <c r="T963" s="4">
        <v>118.34870551401794</v>
      </c>
      <c r="U963" s="7">
        <v>-4.8796772914178277E-2</v>
      </c>
    </row>
    <row r="964" spans="19:21" x14ac:dyDescent="0.25">
      <c r="S964" s="11">
        <v>946</v>
      </c>
      <c r="T964" s="4">
        <v>106.39801557909114</v>
      </c>
      <c r="U964" s="7">
        <v>-0.14484796994782889</v>
      </c>
    </row>
    <row r="965" spans="19:21" x14ac:dyDescent="0.25">
      <c r="S965" s="11">
        <v>947</v>
      </c>
      <c r="T965" s="4">
        <v>156.52880273018459</v>
      </c>
      <c r="U965" s="7">
        <v>0.25806785669654864</v>
      </c>
    </row>
    <row r="966" spans="19:21" x14ac:dyDescent="0.25">
      <c r="S966" s="11">
        <v>948</v>
      </c>
      <c r="T966" s="4">
        <v>93.728419605536544</v>
      </c>
      <c r="U966" s="7">
        <v>-0.24667722548194393</v>
      </c>
    </row>
    <row r="967" spans="19:21" x14ac:dyDescent="0.25">
      <c r="S967" s="11">
        <v>949</v>
      </c>
      <c r="T967" s="4">
        <v>193.210011173189</v>
      </c>
      <c r="U967" s="7">
        <v>0.55288547800344801</v>
      </c>
    </row>
    <row r="968" spans="19:21" x14ac:dyDescent="0.25">
      <c r="S968" s="11">
        <v>950</v>
      </c>
      <c r="T968" s="4">
        <v>432.54558782558229</v>
      </c>
      <c r="U968" s="7">
        <v>2.4764956423853262</v>
      </c>
    </row>
    <row r="969" spans="19:21" x14ac:dyDescent="0.25">
      <c r="S969" s="11">
        <v>951</v>
      </c>
      <c r="T969" s="4">
        <v>123.54371519766855</v>
      </c>
      <c r="U969" s="7">
        <v>-7.0429577425772383E-3</v>
      </c>
    </row>
    <row r="970" spans="19:21" x14ac:dyDescent="0.25">
      <c r="S970" s="11">
        <v>952</v>
      </c>
      <c r="T970" s="4">
        <v>212.53698650143744</v>
      </c>
      <c r="U970" s="7">
        <v>0.70822204228771457</v>
      </c>
    </row>
    <row r="971" spans="19:21" x14ac:dyDescent="0.25">
      <c r="S971" s="11">
        <v>953</v>
      </c>
      <c r="T971" s="4">
        <v>250.72524779596753</v>
      </c>
      <c r="U971" s="7">
        <v>1.0151522889886477</v>
      </c>
    </row>
    <row r="972" spans="19:21" x14ac:dyDescent="0.25">
      <c r="S972" s="11">
        <v>954</v>
      </c>
      <c r="T972" s="4">
        <v>86.350914065420497</v>
      </c>
      <c r="U972" s="7">
        <v>-0.30597239940989795</v>
      </c>
    </row>
    <row r="973" spans="19:21" x14ac:dyDescent="0.25">
      <c r="S973" s="11">
        <v>955</v>
      </c>
      <c r="T973" s="4">
        <v>130.29369675698146</v>
      </c>
      <c r="U973" s="7">
        <v>4.7208622062220318E-2</v>
      </c>
    </row>
    <row r="974" spans="19:21" x14ac:dyDescent="0.25">
      <c r="S974" s="11">
        <v>956</v>
      </c>
      <c r="T974" s="4">
        <v>81.432672778450851</v>
      </c>
      <c r="U974" s="7">
        <v>-0.34550174587324511</v>
      </c>
    </row>
    <row r="975" spans="19:21" x14ac:dyDescent="0.25">
      <c r="S975" s="11">
        <v>957</v>
      </c>
      <c r="T975" s="4">
        <v>261.20957390893943</v>
      </c>
      <c r="U975" s="7">
        <v>1.0994178902824259</v>
      </c>
    </row>
    <row r="976" spans="19:21" x14ac:dyDescent="0.25">
      <c r="S976" s="11">
        <v>958</v>
      </c>
      <c r="T976" s="4">
        <v>66.683303827501007</v>
      </c>
      <c r="U976" s="7">
        <v>-0.46404674628274389</v>
      </c>
    </row>
    <row r="977" spans="19:21" x14ac:dyDescent="0.25">
      <c r="S977" s="11">
        <v>959</v>
      </c>
      <c r="T977" s="4">
        <v>203.67390100437206</v>
      </c>
      <c r="U977" s="7">
        <v>0.63698682691184749</v>
      </c>
    </row>
    <row r="978" spans="19:21" x14ac:dyDescent="0.25">
      <c r="S978" s="11">
        <v>960</v>
      </c>
      <c r="T978" s="4">
        <v>96.524782755485489</v>
      </c>
      <c r="U978" s="7">
        <v>-0.22420203540037387</v>
      </c>
    </row>
    <row r="979" spans="19:21" x14ac:dyDescent="0.25">
      <c r="S979" s="11">
        <v>961</v>
      </c>
      <c r="T979" s="4">
        <v>58.974001345440882</v>
      </c>
      <c r="U979" s="7">
        <v>-0.52600866946278024</v>
      </c>
    </row>
    <row r="980" spans="19:21" x14ac:dyDescent="0.25">
      <c r="S980" s="11">
        <v>962</v>
      </c>
      <c r="T980" s="4">
        <v>111.03960514218248</v>
      </c>
      <c r="U980" s="7">
        <v>-0.10754215445923099</v>
      </c>
    </row>
    <row r="981" spans="19:21" x14ac:dyDescent="0.25">
      <c r="S981" s="11">
        <v>963</v>
      </c>
      <c r="T981" s="4">
        <v>156.38751118544781</v>
      </c>
      <c r="U981" s="7">
        <v>0.25693225514746665</v>
      </c>
    </row>
    <row r="982" spans="19:21" x14ac:dyDescent="0.25">
      <c r="S982" s="11">
        <v>964</v>
      </c>
      <c r="T982" s="4">
        <v>216.66024266144481</v>
      </c>
      <c r="U982" s="7">
        <v>0.7413618603234593</v>
      </c>
    </row>
    <row r="983" spans="19:21" x14ac:dyDescent="0.25">
      <c r="S983" s="11">
        <v>965</v>
      </c>
      <c r="T983" s="4">
        <v>106.89804780983154</v>
      </c>
      <c r="U983" s="7">
        <v>-0.14082906438007126</v>
      </c>
    </row>
    <row r="984" spans="19:21" x14ac:dyDescent="0.25">
      <c r="S984" s="11">
        <v>966</v>
      </c>
      <c r="T984" s="4">
        <v>109.40463201139585</v>
      </c>
      <c r="U984" s="7">
        <v>-0.1206829126234058</v>
      </c>
    </row>
    <row r="985" spans="19:21" x14ac:dyDescent="0.25">
      <c r="S985" s="11">
        <v>967</v>
      </c>
      <c r="T985" s="4">
        <v>194.17084296831314</v>
      </c>
      <c r="U985" s="7">
        <v>0.56060796470272578</v>
      </c>
    </row>
    <row r="986" spans="19:21" x14ac:dyDescent="0.25">
      <c r="S986" s="11">
        <v>968</v>
      </c>
      <c r="T986" s="4">
        <v>185.07535873269006</v>
      </c>
      <c r="U986" s="7">
        <v>0.48750489256301277</v>
      </c>
    </row>
    <row r="987" spans="19:21" x14ac:dyDescent="0.25">
      <c r="S987" s="11">
        <v>969</v>
      </c>
      <c r="T987" s="4">
        <v>150.84615649009802</v>
      </c>
      <c r="U987" s="7">
        <v>0.21239476362399956</v>
      </c>
    </row>
    <row r="988" spans="19:21" x14ac:dyDescent="0.25">
      <c r="S988" s="11">
        <v>970</v>
      </c>
      <c r="T988" s="4">
        <v>158.74671659938605</v>
      </c>
      <c r="U988" s="7">
        <v>0.27589388040014495</v>
      </c>
    </row>
    <row r="989" spans="19:21" x14ac:dyDescent="0.25">
      <c r="S989" s="11">
        <v>971</v>
      </c>
      <c r="T989" s="4">
        <v>181.35130811740635</v>
      </c>
      <c r="U989" s="7">
        <v>0.45757360647328671</v>
      </c>
    </row>
    <row r="990" spans="19:21" x14ac:dyDescent="0.25">
      <c r="S990" s="11">
        <v>972</v>
      </c>
      <c r="T990" s="4">
        <v>145.7104879967944</v>
      </c>
      <c r="U990" s="7">
        <v>0.17111789098854202</v>
      </c>
    </row>
    <row r="991" spans="19:21" x14ac:dyDescent="0.25">
      <c r="S991" s="11">
        <v>973</v>
      </c>
      <c r="T991" s="4">
        <v>175.47341477366314</v>
      </c>
      <c r="U991" s="7">
        <v>0.41033125521349567</v>
      </c>
    </row>
    <row r="992" spans="19:21" x14ac:dyDescent="0.25">
      <c r="S992" s="11">
        <v>974</v>
      </c>
      <c r="T992" s="4">
        <v>106.72038592296389</v>
      </c>
      <c r="U992" s="7">
        <v>-0.14225698502681339</v>
      </c>
    </row>
    <row r="993" spans="19:21" x14ac:dyDescent="0.25">
      <c r="S993" s="11">
        <v>975</v>
      </c>
      <c r="T993" s="4">
        <v>222.77781926197287</v>
      </c>
      <c r="U993" s="7">
        <v>0.79053061615474096</v>
      </c>
    </row>
    <row r="994" spans="19:21" x14ac:dyDescent="0.25">
      <c r="S994" s="11">
        <v>976</v>
      </c>
      <c r="T994" s="4">
        <v>132.1009659162614</v>
      </c>
      <c r="U994" s="7">
        <v>6.1734173896973221E-2</v>
      </c>
    </row>
    <row r="995" spans="19:21" x14ac:dyDescent="0.25">
      <c r="S995" s="11">
        <v>977</v>
      </c>
      <c r="T995" s="4">
        <v>209.83187090644918</v>
      </c>
      <c r="U995" s="7">
        <v>0.68648023554452009</v>
      </c>
    </row>
    <row r="996" spans="19:21" x14ac:dyDescent="0.25">
      <c r="S996" s="11">
        <v>978</v>
      </c>
      <c r="T996" s="4">
        <v>128.25723734725042</v>
      </c>
      <c r="U996" s="7">
        <v>3.0841001022748893E-2</v>
      </c>
    </row>
    <row r="997" spans="19:21" x14ac:dyDescent="0.25">
      <c r="S997" s="11">
        <v>979</v>
      </c>
      <c r="T997" s="4">
        <v>388.74462749824232</v>
      </c>
      <c r="U997" s="7">
        <v>2.1244544888140355</v>
      </c>
    </row>
    <row r="998" spans="19:21" x14ac:dyDescent="0.25">
      <c r="S998" s="11">
        <v>980</v>
      </c>
      <c r="T998" s="4">
        <v>123.3152358186763</v>
      </c>
      <c r="U998" s="7">
        <v>-8.8793134650675398E-3</v>
      </c>
    </row>
    <row r="999" spans="19:21" x14ac:dyDescent="0.25">
      <c r="S999" s="11">
        <v>981</v>
      </c>
      <c r="T999" s="4">
        <v>179.55452891559219</v>
      </c>
      <c r="U999" s="7">
        <v>0.44313236550066049</v>
      </c>
    </row>
    <row r="1000" spans="19:21" x14ac:dyDescent="0.25">
      <c r="S1000" s="11">
        <v>982</v>
      </c>
      <c r="T1000" s="4">
        <v>213.82235671565201</v>
      </c>
      <c r="U1000" s="7">
        <v>0.71855293936386433</v>
      </c>
    </row>
    <row r="1001" spans="19:21" x14ac:dyDescent="0.25">
      <c r="S1001" s="11">
        <v>983</v>
      </c>
      <c r="T1001" s="4">
        <v>224.88361277052914</v>
      </c>
      <c r="U1001" s="7">
        <v>0.80745549566411468</v>
      </c>
    </row>
    <row r="1002" spans="19:21" x14ac:dyDescent="0.25">
      <c r="S1002" s="11">
        <v>984</v>
      </c>
      <c r="T1002" s="4">
        <v>233.94505984304891</v>
      </c>
      <c r="U1002" s="7">
        <v>0.88028500114972608</v>
      </c>
    </row>
    <row r="1003" spans="19:21" x14ac:dyDescent="0.25">
      <c r="S1003" s="11">
        <v>985</v>
      </c>
      <c r="T1003" s="4">
        <v>322.9251271710865</v>
      </c>
      <c r="U1003" s="7">
        <v>1.5954438769577761</v>
      </c>
    </row>
    <row r="1004" spans="19:21" x14ac:dyDescent="0.25">
      <c r="S1004" s="11">
        <v>986</v>
      </c>
      <c r="T1004" s="4">
        <v>186.14520323236567</v>
      </c>
      <c r="U1004" s="7">
        <v>0.49610354631382148</v>
      </c>
    </row>
    <row r="1005" spans="19:21" x14ac:dyDescent="0.25">
      <c r="S1005" s="11">
        <v>987</v>
      </c>
      <c r="T1005" s="4">
        <v>167.04588014596803</v>
      </c>
      <c r="U1005" s="7">
        <v>0.34259668980845537</v>
      </c>
    </row>
    <row r="1006" spans="19:21" x14ac:dyDescent="0.25">
      <c r="S1006" s="11">
        <v>988</v>
      </c>
      <c r="T1006" s="4">
        <v>201.09028325581238</v>
      </c>
      <c r="U1006" s="7">
        <v>0.61622153396409241</v>
      </c>
    </row>
    <row r="1007" spans="19:21" x14ac:dyDescent="0.25">
      <c r="S1007" s="11">
        <v>989</v>
      </c>
      <c r="T1007" s="4">
        <v>261.08420707303333</v>
      </c>
      <c r="U1007" s="7">
        <v>1.0984102802847882</v>
      </c>
    </row>
    <row r="1008" spans="19:21" x14ac:dyDescent="0.25">
      <c r="S1008" s="11">
        <v>990</v>
      </c>
      <c r="T1008" s="4">
        <v>178.08667114047287</v>
      </c>
      <c r="U1008" s="7">
        <v>0.43133476242141833</v>
      </c>
    </row>
    <row r="1009" spans="19:21" x14ac:dyDescent="0.25">
      <c r="S1009" s="11">
        <v>991</v>
      </c>
      <c r="T1009" s="4">
        <v>103.36861508324444</v>
      </c>
      <c r="U1009" s="7">
        <v>-0.16919614946757411</v>
      </c>
    </row>
    <row r="1010" spans="19:21" x14ac:dyDescent="0.25">
      <c r="S1010" s="11">
        <v>992</v>
      </c>
      <c r="T1010" s="4">
        <v>131.02305055633096</v>
      </c>
      <c r="U1010" s="7">
        <v>5.307065227721397E-2</v>
      </c>
    </row>
    <row r="1011" spans="19:21" x14ac:dyDescent="0.25">
      <c r="S1011" s="11">
        <v>993</v>
      </c>
      <c r="T1011" s="4">
        <v>324.23203467450651</v>
      </c>
      <c r="U1011" s="7">
        <v>1.605947875538551</v>
      </c>
    </row>
    <row r="1012" spans="19:21" x14ac:dyDescent="0.25">
      <c r="S1012" s="11">
        <v>994</v>
      </c>
      <c r="T1012" s="4">
        <v>230.05639489525132</v>
      </c>
      <c r="U1012" s="7">
        <v>0.84903066143105055</v>
      </c>
    </row>
    <row r="1013" spans="19:21" x14ac:dyDescent="0.25">
      <c r="S1013" s="11">
        <v>995</v>
      </c>
      <c r="T1013" s="4">
        <v>280.43846809726568</v>
      </c>
      <c r="U1013" s="7">
        <v>1.2539661477034696</v>
      </c>
    </row>
    <row r="1014" spans="19:21" x14ac:dyDescent="0.25">
      <c r="S1014" s="11">
        <v>996</v>
      </c>
      <c r="T1014" s="4">
        <v>224.86773295465824</v>
      </c>
      <c r="U1014" s="7">
        <v>0.80732786493054354</v>
      </c>
    </row>
    <row r="1015" spans="19:21" x14ac:dyDescent="0.25">
      <c r="S1015" s="11">
        <v>997</v>
      </c>
      <c r="T1015" s="4">
        <v>215.92106473534898</v>
      </c>
      <c r="U1015" s="7">
        <v>0.73542087072294637</v>
      </c>
    </row>
    <row r="1016" spans="19:21" x14ac:dyDescent="0.25">
      <c r="S1016" s="11">
        <v>998</v>
      </c>
      <c r="T1016" s="4">
        <v>199.98315252287023</v>
      </c>
      <c r="U1016" s="7">
        <v>0.6073231998301738</v>
      </c>
    </row>
    <row r="1017" spans="19:21" x14ac:dyDescent="0.25">
      <c r="S1017" s="11">
        <v>999</v>
      </c>
      <c r="T1017" s="4">
        <v>95.408679350614719</v>
      </c>
      <c r="U1017" s="7">
        <v>-0.23317248552793191</v>
      </c>
    </row>
    <row r="1018" spans="19:21" x14ac:dyDescent="0.25">
      <c r="S1018" s="11">
        <v>1000</v>
      </c>
      <c r="T1018" s="4">
        <v>154.15779438522637</v>
      </c>
      <c r="U1018" s="7">
        <v>0.23901136782853527</v>
      </c>
    </row>
  </sheetData>
  <sheetProtection sheet="1" objects="1" scenarios="1"/>
  <phoneticPr fontId="1" type="noConversion"/>
  <hyperlinks>
    <hyperlink ref="D2" location="TOC" display="Table of Contents" xr:uid="{22677BF1-B824-4244-B7E8-F6A04B899D50}"/>
  </hyperlink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CF5A8-782F-4C70-86AB-1E7538BFCF71}">
  <sheetPr codeName="Sheet5">
    <tabColor theme="7" tint="0.39997558519241921"/>
  </sheetPr>
  <dimension ref="D2:U1018"/>
  <sheetViews>
    <sheetView showGridLines="0" workbookViewId="0"/>
  </sheetViews>
  <sheetFormatPr defaultRowHeight="15" x14ac:dyDescent="0.25"/>
  <cols>
    <col min="1" max="3" width="2.7109375" style="11" customWidth="1"/>
    <col min="4" max="4" width="9.85546875" style="11" bestFit="1" customWidth="1"/>
    <col min="5" max="5" width="13.7109375" style="11" customWidth="1"/>
    <col min="6" max="6" width="16.140625" style="11" customWidth="1"/>
    <col min="7" max="7" width="11.5703125" style="11" bestFit="1" customWidth="1"/>
    <col min="8" max="8" width="17.42578125" style="11" bestFit="1" customWidth="1"/>
    <col min="9" max="11" width="2" style="11" customWidth="1"/>
    <col min="12" max="12" width="9.140625" style="11"/>
    <col min="13" max="13" width="10" style="11" bestFit="1" customWidth="1"/>
    <col min="14" max="14" width="9.140625" style="11"/>
    <col min="15" max="15" width="13.85546875" style="11" bestFit="1" customWidth="1"/>
    <col min="16" max="16" width="9.140625" style="11"/>
    <col min="17" max="18" width="2.7109375" style="11" customWidth="1"/>
    <col min="19" max="20" width="9.28515625" style="11" customWidth="1"/>
    <col min="21" max="21" width="13.85546875" style="11" bestFit="1" customWidth="1"/>
    <col min="22" max="16384" width="9.140625" style="11"/>
  </cols>
  <sheetData>
    <row r="2" spans="4:19" x14ac:dyDescent="0.25">
      <c r="D2" s="54" t="s">
        <v>64</v>
      </c>
    </row>
    <row r="4" spans="4:19" ht="18.75" x14ac:dyDescent="0.3">
      <c r="D4" s="64" t="str">
        <f ca="1">MID(CELL("filename",A1),FIND("]",CELL("filename",A1))+1,255)</f>
        <v>IHF</v>
      </c>
    </row>
    <row r="6" spans="4:19" x14ac:dyDescent="0.25">
      <c r="D6" s="40" t="s">
        <v>21</v>
      </c>
      <c r="E6" s="40"/>
      <c r="F6" s="40"/>
      <c r="G6" s="40"/>
      <c r="H6" s="40"/>
      <c r="L6" s="40" t="s">
        <v>25</v>
      </c>
      <c r="M6" s="43"/>
      <c r="N6" s="40" t="s">
        <v>12</v>
      </c>
      <c r="O6" s="40" t="s">
        <v>13</v>
      </c>
    </row>
    <row r="7" spans="4:19" x14ac:dyDescent="0.25">
      <c r="D7" s="11" t="s">
        <v>24</v>
      </c>
      <c r="H7" s="80">
        <f>Assumptions!F19</f>
        <v>12</v>
      </c>
      <c r="L7" s="11" t="s">
        <v>14</v>
      </c>
      <c r="N7" s="4">
        <f>AVERAGE(T19:T1018)</f>
        <v>328.66941148106889</v>
      </c>
      <c r="O7" s="7">
        <f>AVERAGE(U19:U1018)</f>
        <v>0.1990420323266896</v>
      </c>
    </row>
    <row r="8" spans="4:19" x14ac:dyDescent="0.25">
      <c r="D8" s="11" t="s">
        <v>15</v>
      </c>
      <c r="H8" s="48">
        <f>MAX(S19:S2018)</f>
        <v>1000</v>
      </c>
      <c r="L8" s="11" t="s">
        <v>30</v>
      </c>
      <c r="N8" s="4">
        <f>MIN($T$19:$T$1018)</f>
        <v>163.18418594506019</v>
      </c>
      <c r="O8" s="7">
        <f>MIN($U$19:$U$1018)</f>
        <v>-0.40467627614804214</v>
      </c>
    </row>
    <row r="9" spans="4:19" x14ac:dyDescent="0.25">
      <c r="D9" s="41" t="s">
        <v>16</v>
      </c>
      <c r="G9" s="45">
        <v>44578</v>
      </c>
      <c r="H9" s="38">
        <v>274.11</v>
      </c>
      <c r="L9" s="11" t="s">
        <v>31</v>
      </c>
      <c r="N9" s="4">
        <f>MAX($T$19:$T$1018)</f>
        <v>593.25344112340656</v>
      </c>
      <c r="O9" s="7">
        <f>MAX($U$19:$U$1018)</f>
        <v>1.1642896688315147</v>
      </c>
    </row>
    <row r="10" spans="4:19" x14ac:dyDescent="0.25">
      <c r="D10" s="11" t="s">
        <v>19</v>
      </c>
      <c r="H10" s="46">
        <v>0</v>
      </c>
      <c r="L10" s="11" t="s">
        <v>27</v>
      </c>
      <c r="N10" s="4">
        <f>_xlfn.STDEV.S(T19:T1018)</f>
        <v>62.491782897423072</v>
      </c>
      <c r="O10" s="7">
        <f>_xlfn.STDEV.S(U19:U1018)</f>
        <v>0.22798067526694768</v>
      </c>
    </row>
    <row r="12" spans="4:19" x14ac:dyDescent="0.25">
      <c r="D12" s="11" t="s">
        <v>22</v>
      </c>
      <c r="H12" s="4">
        <f>IF(H10&gt;0,H9*(1-H10),H9)</f>
        <v>274.11</v>
      </c>
      <c r="L12" s="11" t="s">
        <v>28</v>
      </c>
      <c r="O12" s="49">
        <f>COUNTIF($U$19:$U$1018,"&gt;0")/$H$8</f>
        <v>0.80800000000000005</v>
      </c>
    </row>
    <row r="13" spans="4:19" x14ac:dyDescent="0.25">
      <c r="D13" s="11" t="s">
        <v>23</v>
      </c>
      <c r="H13" s="4">
        <f ca="1">P29</f>
        <v>433.53443643211352</v>
      </c>
      <c r="L13" s="11" t="s">
        <v>29</v>
      </c>
      <c r="O13" s="49">
        <f>COUNTIF($U$19:$U$1018,"&lt;0")/$H$8</f>
        <v>0.192</v>
      </c>
    </row>
    <row r="14" spans="4:19" x14ac:dyDescent="0.25">
      <c r="D14" s="41" t="s">
        <v>36</v>
      </c>
      <c r="H14" s="4">
        <f ca="1">IF(H10&lt;0,H13+(H10*H9),H13)</f>
        <v>433.53443643211352</v>
      </c>
    </row>
    <row r="16" spans="4:19" x14ac:dyDescent="0.25">
      <c r="L16" s="20" t="s">
        <v>20</v>
      </c>
      <c r="S16" s="20" t="s">
        <v>35</v>
      </c>
    </row>
    <row r="17" spans="4:21" x14ac:dyDescent="0.25">
      <c r="D17" s="47" t="s">
        <v>0</v>
      </c>
      <c r="E17" s="47" t="s">
        <v>10</v>
      </c>
      <c r="F17" s="47" t="s">
        <v>1</v>
      </c>
      <c r="G17" s="47" t="s">
        <v>2</v>
      </c>
      <c r="H17" s="47" t="s">
        <v>3</v>
      </c>
      <c r="L17" s="40" t="s">
        <v>9</v>
      </c>
      <c r="M17" s="40" t="s">
        <v>17</v>
      </c>
      <c r="N17" s="40" t="s">
        <v>10</v>
      </c>
      <c r="O17" s="40" t="s">
        <v>11</v>
      </c>
      <c r="P17" s="40" t="s">
        <v>18</v>
      </c>
      <c r="R17" s="32"/>
      <c r="S17" s="40" t="s">
        <v>26</v>
      </c>
      <c r="T17" s="40" t="s">
        <v>12</v>
      </c>
      <c r="U17" s="40" t="s">
        <v>13</v>
      </c>
    </row>
    <row r="18" spans="4:21" x14ac:dyDescent="0.25">
      <c r="D18" s="47" t="s">
        <v>5</v>
      </c>
      <c r="E18" s="47">
        <v>1</v>
      </c>
      <c r="F18" s="25">
        <v>44562</v>
      </c>
      <c r="G18" s="23">
        <v>277.87</v>
      </c>
      <c r="H18" s="34">
        <v>-4.1505664316222046E-2</v>
      </c>
      <c r="L18" s="11">
        <v>1</v>
      </c>
      <c r="M18" s="4">
        <f>H12</f>
        <v>274.11</v>
      </c>
      <c r="N18" s="1">
        <f ca="1">RANDBETWEEN(1,MAX(IHF[Scenario]))</f>
        <v>22</v>
      </c>
      <c r="O18" s="7">
        <f ca="1">INDEX(IHF[Monthly Return],MATCH(N18,IHF[Scenario],0))</f>
        <v>0.14218167300366358</v>
      </c>
      <c r="P18" s="4">
        <f ca="1">(1+O18)*M18</f>
        <v>313.08341838703421</v>
      </c>
      <c r="S18" s="32"/>
      <c r="T18" s="6">
        <f ca="1">$H$14</f>
        <v>433.53443643211352</v>
      </c>
      <c r="U18" s="53">
        <f ca="1">$H$14/$H$12-1</f>
        <v>0.5816075168075352</v>
      </c>
    </row>
    <row r="19" spans="4:21" x14ac:dyDescent="0.25">
      <c r="D19" s="47" t="s">
        <v>5</v>
      </c>
      <c r="E19" s="47">
        <v>2</v>
      </c>
      <c r="F19" s="25">
        <v>44531</v>
      </c>
      <c r="G19" s="23">
        <v>289.90260000000001</v>
      </c>
      <c r="H19" s="34">
        <v>0.11517470272532582</v>
      </c>
      <c r="L19" s="11">
        <v>2</v>
      </c>
      <c r="M19" s="4">
        <f ca="1">P18</f>
        <v>313.08341838703421</v>
      </c>
      <c r="N19" s="1">
        <f ca="1">RANDBETWEEN(1,MAX(IHF[Scenario]))</f>
        <v>22</v>
      </c>
      <c r="O19" s="7">
        <f ca="1">INDEX(IHF[Monthly Return],MATCH(N19,IHF[Scenario],0))</f>
        <v>0.14218167300366358</v>
      </c>
      <c r="P19" s="4">
        <f ca="1">(1+O19)*M19</f>
        <v>357.59814260300868</v>
      </c>
      <c r="S19" s="11">
        <v>1</v>
      </c>
      <c r="T19" s="4">
        <f t="dataTable" ref="T19:U1018" dt2D="0" dtr="0" r1="R17" ca="1"/>
        <v>280.49228047426948</v>
      </c>
      <c r="U19" s="7">
        <v>2.3283646982122042E-2</v>
      </c>
    </row>
    <row r="20" spans="4:21" x14ac:dyDescent="0.25">
      <c r="D20" s="47" t="s">
        <v>5</v>
      </c>
      <c r="E20" s="47">
        <v>3</v>
      </c>
      <c r="F20" s="25">
        <v>44501</v>
      </c>
      <c r="G20" s="23">
        <v>259.96159999999998</v>
      </c>
      <c r="H20" s="34">
        <v>-6.598732357577064E-2</v>
      </c>
      <c r="L20" s="11">
        <v>3</v>
      </c>
      <c r="M20" s="4">
        <f t="shared" ref="M20:M29" ca="1" si="0">P19</f>
        <v>357.59814260300868</v>
      </c>
      <c r="N20" s="1">
        <f ca="1">RANDBETWEEN(1,MAX(IHF[Scenario]))</f>
        <v>55</v>
      </c>
      <c r="O20" s="7">
        <f ca="1">INDEX(IHF[Monthly Return],MATCH(N20,IHF[Scenario],0))</f>
        <v>-2.0008381522318985E-2</v>
      </c>
      <c r="P20" s="4">
        <f t="shared" ref="P20:P29" ca="1" si="1">(1+O20)*M20</f>
        <v>350.44318253413508</v>
      </c>
      <c r="S20" s="11">
        <v>2</v>
      </c>
      <c r="T20" s="4">
        <v>324.60179788436892</v>
      </c>
      <c r="U20" s="7">
        <v>0.18420268463160383</v>
      </c>
    </row>
    <row r="21" spans="4:21" x14ac:dyDescent="0.25">
      <c r="D21" s="47" t="s">
        <v>5</v>
      </c>
      <c r="E21" s="47">
        <v>4</v>
      </c>
      <c r="F21" s="25">
        <v>44470</v>
      </c>
      <c r="G21" s="23">
        <v>278.32769999999999</v>
      </c>
      <c r="H21" s="34">
        <v>9.2388501508311682E-2</v>
      </c>
      <c r="L21" s="11">
        <v>4</v>
      </c>
      <c r="M21" s="4">
        <f t="shared" ca="1" si="0"/>
        <v>350.44318253413508</v>
      </c>
      <c r="N21" s="1">
        <f ca="1">RANDBETWEEN(1,MAX(IHF[Scenario]))</f>
        <v>13</v>
      </c>
      <c r="O21" s="7">
        <f ca="1">INDEX(IHF[Monthly Return],MATCH(N21,IHF[Scenario],0))</f>
        <v>2.3552451899362836E-2</v>
      </c>
      <c r="P21" s="4">
        <f t="shared" ca="1" si="1"/>
        <v>358.6969787342299</v>
      </c>
      <c r="S21" s="11">
        <v>3</v>
      </c>
      <c r="T21" s="4">
        <v>251.79783023798689</v>
      </c>
      <c r="U21" s="7">
        <v>-8.1398598234333375E-2</v>
      </c>
    </row>
    <row r="22" spans="4:21" x14ac:dyDescent="0.25">
      <c r="D22" s="47" t="s">
        <v>5</v>
      </c>
      <c r="E22" s="47">
        <v>5</v>
      </c>
      <c r="F22" s="25">
        <v>44440</v>
      </c>
      <c r="G22" s="23">
        <v>254.78819999999999</v>
      </c>
      <c r="H22" s="34">
        <v>-4.7764235238540897E-2</v>
      </c>
      <c r="L22" s="11">
        <v>5</v>
      </c>
      <c r="M22" s="4">
        <f t="shared" ca="1" si="0"/>
        <v>358.6969787342299</v>
      </c>
      <c r="N22" s="1">
        <f ca="1">RANDBETWEEN(1,MAX(IHF[Scenario]))</f>
        <v>34</v>
      </c>
      <c r="O22" s="7">
        <f ca="1">INDEX(IHF[Monthly Return],MATCH(N22,IHF[Scenario],0))</f>
        <v>-2.5097603817177738E-2</v>
      </c>
      <c r="P22" s="4">
        <f t="shared" ca="1" si="1"/>
        <v>349.69454407153955</v>
      </c>
      <c r="S22" s="11">
        <v>4</v>
      </c>
      <c r="T22" s="4">
        <v>257.37734139077872</v>
      </c>
      <c r="U22" s="7">
        <v>-6.1043590562990357E-2</v>
      </c>
    </row>
    <row r="23" spans="4:21" x14ac:dyDescent="0.25">
      <c r="D23" s="47" t="s">
        <v>5</v>
      </c>
      <c r="E23" s="47">
        <v>6</v>
      </c>
      <c r="F23" s="25">
        <v>44409</v>
      </c>
      <c r="G23" s="23">
        <v>267.5684</v>
      </c>
      <c r="H23" s="34">
        <v>-7.4367974982503249E-5</v>
      </c>
      <c r="L23" s="11">
        <v>6</v>
      </c>
      <c r="M23" s="4">
        <f t="shared" ca="1" si="0"/>
        <v>349.69454407153955</v>
      </c>
      <c r="N23" s="1">
        <f ca="1">RANDBETWEEN(1,MAX(IHF[Scenario]))</f>
        <v>53</v>
      </c>
      <c r="O23" s="7">
        <f ca="1">INDEX(IHF[Monthly Return],MATCH(N23,IHF[Scenario],0))</f>
        <v>0</v>
      </c>
      <c r="P23" s="4">
        <f t="shared" ca="1" si="1"/>
        <v>349.69454407153955</v>
      </c>
      <c r="S23" s="11">
        <v>5</v>
      </c>
      <c r="T23" s="4">
        <v>364.6165077712098</v>
      </c>
      <c r="U23" s="7">
        <v>0.33018316650691237</v>
      </c>
    </row>
    <row r="24" spans="4:21" x14ac:dyDescent="0.25">
      <c r="D24" s="47" t="s">
        <v>5</v>
      </c>
      <c r="E24" s="47">
        <v>7</v>
      </c>
      <c r="F24" s="25">
        <v>44378</v>
      </c>
      <c r="G24" s="23">
        <v>267.5883</v>
      </c>
      <c r="H24" s="34">
        <v>8.8055687295809371E-3</v>
      </c>
      <c r="L24" s="11">
        <v>7</v>
      </c>
      <c r="M24" s="4">
        <f t="shared" ca="1" si="0"/>
        <v>349.69454407153955</v>
      </c>
      <c r="N24" s="1">
        <f ca="1">RANDBETWEEN(1,MAX(IHF[Scenario]))</f>
        <v>42</v>
      </c>
      <c r="O24" s="7">
        <f ca="1">INDEX(IHF[Monthly Return],MATCH(N24,IHF[Scenario],0))</f>
        <v>7.8877787424496582E-2</v>
      </c>
      <c r="P24" s="4">
        <f t="shared" ca="1" si="1"/>
        <v>377.27767598232072</v>
      </c>
      <c r="S24" s="11">
        <v>6</v>
      </c>
      <c r="T24" s="4">
        <v>227.03132324384191</v>
      </c>
      <c r="U24" s="7">
        <v>-0.17175103701491412</v>
      </c>
    </row>
    <row r="25" spans="4:21" x14ac:dyDescent="0.25">
      <c r="D25" s="47" t="s">
        <v>5</v>
      </c>
      <c r="E25" s="47">
        <v>8</v>
      </c>
      <c r="F25" s="25">
        <v>44348</v>
      </c>
      <c r="G25" s="23">
        <v>265.25259999999997</v>
      </c>
      <c r="H25" s="34">
        <v>-1.8129537520410133E-2</v>
      </c>
      <c r="L25" s="11">
        <v>8</v>
      </c>
      <c r="M25" s="4">
        <f t="shared" ca="1" si="0"/>
        <v>377.27767598232072</v>
      </c>
      <c r="N25" s="1">
        <f ca="1">RANDBETWEEN(1,MAX(IHF[Scenario]))</f>
        <v>10</v>
      </c>
      <c r="O25" s="7">
        <f ca="1">INDEX(IHF[Monthly Return],MATCH(N25,IHF[Scenario],0))</f>
        <v>4.5532353849836893E-2</v>
      </c>
      <c r="P25" s="4">
        <f t="shared" ca="1" si="1"/>
        <v>394.45601662479186</v>
      </c>
      <c r="S25" s="11">
        <v>7</v>
      </c>
      <c r="T25" s="4">
        <v>408.85388164161168</v>
      </c>
      <c r="U25" s="7">
        <v>0.49156864631575514</v>
      </c>
    </row>
    <row r="26" spans="4:21" x14ac:dyDescent="0.25">
      <c r="D26" s="47" t="s">
        <v>5</v>
      </c>
      <c r="E26" s="47">
        <v>9</v>
      </c>
      <c r="F26" s="25">
        <v>44317</v>
      </c>
      <c r="G26" s="23">
        <v>270.15030000000002</v>
      </c>
      <c r="H26" s="34">
        <v>3.2687791094162533E-2</v>
      </c>
      <c r="L26" s="11">
        <v>9</v>
      </c>
      <c r="M26" s="4">
        <f t="shared" ca="1" si="0"/>
        <v>394.45601662479186</v>
      </c>
      <c r="N26" s="1">
        <f ca="1">RANDBETWEEN(1,MAX(IHF[Scenario]))</f>
        <v>51</v>
      </c>
      <c r="O26" s="7">
        <f ca="1">INDEX(IHF[Monthly Return],MATCH(N26,IHF[Scenario],0))</f>
        <v>5.0020077966475007E-2</v>
      </c>
      <c r="P26" s="4">
        <f t="shared" ca="1" si="1"/>
        <v>414.18673733070909</v>
      </c>
      <c r="S26" s="11">
        <v>8</v>
      </c>
      <c r="T26" s="4">
        <v>244.5761676040313</v>
      </c>
      <c r="U26" s="7">
        <v>-0.10774445440140346</v>
      </c>
    </row>
    <row r="27" spans="4:21" x14ac:dyDescent="0.25">
      <c r="D27" s="47" t="s">
        <v>5</v>
      </c>
      <c r="E27" s="47">
        <v>10</v>
      </c>
      <c r="F27" s="25">
        <v>44287</v>
      </c>
      <c r="G27" s="23">
        <v>261.5992</v>
      </c>
      <c r="H27" s="34">
        <v>4.5532353849836893E-2</v>
      </c>
      <c r="L27" s="11">
        <v>10</v>
      </c>
      <c r="M27" s="4">
        <f t="shared" ca="1" si="0"/>
        <v>414.18673733070909</v>
      </c>
      <c r="N27" s="1">
        <f ca="1">RANDBETWEEN(1,MAX(IHF[Scenario]))</f>
        <v>8</v>
      </c>
      <c r="O27" s="7">
        <f ca="1">INDEX(IHF[Monthly Return],MATCH(N27,IHF[Scenario],0))</f>
        <v>-1.8129537520410133E-2</v>
      </c>
      <c r="P27" s="4">
        <f t="shared" ca="1" si="1"/>
        <v>406.67772333581576</v>
      </c>
      <c r="S27" s="11">
        <v>9</v>
      </c>
      <c r="T27" s="4">
        <v>275.26478120981852</v>
      </c>
      <c r="U27" s="7">
        <v>4.212838677240871E-3</v>
      </c>
    </row>
    <row r="28" spans="4:21" x14ac:dyDescent="0.25">
      <c r="D28" s="47" t="s">
        <v>5</v>
      </c>
      <c r="E28" s="47">
        <v>11</v>
      </c>
      <c r="F28" s="25">
        <v>44256</v>
      </c>
      <c r="G28" s="23">
        <v>250.20670000000001</v>
      </c>
      <c r="H28" s="34">
        <v>7.273110798322957E-2</v>
      </c>
      <c r="L28" s="11">
        <v>11</v>
      </c>
      <c r="M28" s="4">
        <f t="shared" ca="1" si="0"/>
        <v>406.67772333581576</v>
      </c>
      <c r="N28" s="1">
        <f ca="1">RANDBETWEEN(1,MAX(IHF[Scenario]))</f>
        <v>51</v>
      </c>
      <c r="O28" s="7">
        <f ca="1">INDEX(IHF[Monthly Return],MATCH(N28,IHF[Scenario],0))</f>
        <v>5.0020077966475007E-2</v>
      </c>
      <c r="P28" s="4">
        <f t="shared" ca="1" si="1"/>
        <v>427.01977476430181</v>
      </c>
      <c r="S28" s="11">
        <v>10</v>
      </c>
      <c r="T28" s="4">
        <v>307.58620212771973</v>
      </c>
      <c r="U28" s="7">
        <v>0.12212689113027508</v>
      </c>
    </row>
    <row r="29" spans="4:21" x14ac:dyDescent="0.25">
      <c r="D29" s="47" t="s">
        <v>5</v>
      </c>
      <c r="E29" s="47">
        <v>12</v>
      </c>
      <c r="F29" s="25">
        <v>44228</v>
      </c>
      <c r="G29" s="23">
        <v>233.24270000000001</v>
      </c>
      <c r="H29" s="34">
        <v>-2.1757301819441466E-2</v>
      </c>
      <c r="L29" s="11">
        <v>12</v>
      </c>
      <c r="M29" s="4">
        <f t="shared" ca="1" si="0"/>
        <v>427.01977476430181</v>
      </c>
      <c r="N29" s="1">
        <f ca="1">RANDBETWEEN(1,MAX(IHF[Scenario]))</f>
        <v>54</v>
      </c>
      <c r="O29" s="7">
        <f ca="1">INDEX(IHF[Monthly Return],MATCH(N29,IHF[Scenario],0))</f>
        <v>1.5256112369520958E-2</v>
      </c>
      <c r="P29" s="4">
        <f t="shared" ca="1" si="1"/>
        <v>433.53443643211352</v>
      </c>
      <c r="S29" s="11">
        <v>11</v>
      </c>
      <c r="T29" s="4">
        <v>386.87060257020948</v>
      </c>
      <c r="U29" s="7">
        <v>0.41136989737772955</v>
      </c>
    </row>
    <row r="30" spans="4:21" x14ac:dyDescent="0.25">
      <c r="D30" s="47" t="s">
        <v>5</v>
      </c>
      <c r="E30" s="47">
        <v>13</v>
      </c>
      <c r="F30" s="25">
        <v>44197</v>
      </c>
      <c r="G30" s="23">
        <v>238.43029999999999</v>
      </c>
      <c r="H30" s="34">
        <v>2.3552451899362836E-2</v>
      </c>
      <c r="S30" s="11">
        <v>12</v>
      </c>
      <c r="T30" s="4">
        <v>306.10906923008389</v>
      </c>
      <c r="U30" s="7">
        <v>0.11673805855344166</v>
      </c>
    </row>
    <row r="31" spans="4:21" x14ac:dyDescent="0.25">
      <c r="D31" s="47" t="s">
        <v>5</v>
      </c>
      <c r="E31" s="47">
        <v>14</v>
      </c>
      <c r="F31" s="25">
        <v>44166</v>
      </c>
      <c r="G31" s="23">
        <v>232.94390000000001</v>
      </c>
      <c r="H31" s="34">
        <v>4.1263638586454876E-2</v>
      </c>
      <c r="S31" s="11">
        <v>13</v>
      </c>
      <c r="T31" s="4">
        <v>222.51820181477689</v>
      </c>
      <c r="U31" s="7">
        <v>-0.18821567321594657</v>
      </c>
    </row>
    <row r="32" spans="4:21" x14ac:dyDescent="0.25">
      <c r="D32" s="47" t="s">
        <v>5</v>
      </c>
      <c r="E32" s="47">
        <v>15</v>
      </c>
      <c r="F32" s="25">
        <v>44136</v>
      </c>
      <c r="G32" s="23">
        <v>223.71270000000001</v>
      </c>
      <c r="H32" s="34">
        <v>0.12252263734190505</v>
      </c>
      <c r="S32" s="11">
        <v>14</v>
      </c>
      <c r="T32" s="4">
        <v>444.39490904040395</v>
      </c>
      <c r="U32" s="7">
        <v>0.62122837196893199</v>
      </c>
    </row>
    <row r="33" spans="4:21" x14ac:dyDescent="0.25">
      <c r="D33" s="47" t="s">
        <v>5</v>
      </c>
      <c r="E33" s="47">
        <v>16</v>
      </c>
      <c r="F33" s="25">
        <v>44105</v>
      </c>
      <c r="G33" s="23">
        <v>199.2946</v>
      </c>
      <c r="H33" s="34">
        <v>-2.5624779161449451E-3</v>
      </c>
      <c r="S33" s="11">
        <v>15</v>
      </c>
      <c r="T33" s="4">
        <v>352.8579325802819</v>
      </c>
      <c r="U33" s="7">
        <v>0.28728588004918421</v>
      </c>
    </row>
    <row r="34" spans="4:21" x14ac:dyDescent="0.25">
      <c r="D34" s="47" t="s">
        <v>5</v>
      </c>
      <c r="E34" s="47">
        <v>17</v>
      </c>
      <c r="F34" s="25">
        <v>44075</v>
      </c>
      <c r="G34" s="23">
        <v>199.8066</v>
      </c>
      <c r="H34" s="34">
        <v>-2.0909122983080564E-2</v>
      </c>
      <c r="S34" s="11">
        <v>16</v>
      </c>
      <c r="T34" s="4">
        <v>304.87461880406477</v>
      </c>
      <c r="U34" s="7">
        <v>0.11223457299647865</v>
      </c>
    </row>
    <row r="35" spans="4:21" x14ac:dyDescent="0.25">
      <c r="D35" s="47" t="s">
        <v>5</v>
      </c>
      <c r="E35" s="47">
        <v>18</v>
      </c>
      <c r="F35" s="25">
        <v>44044</v>
      </c>
      <c r="G35" s="23">
        <v>204.0736</v>
      </c>
      <c r="H35" s="34">
        <v>8.9083149051498722E-3</v>
      </c>
      <c r="S35" s="11">
        <v>17</v>
      </c>
      <c r="T35" s="4">
        <v>384.9935180735153</v>
      </c>
      <c r="U35" s="7">
        <v>0.4045219731987717</v>
      </c>
    </row>
    <row r="36" spans="4:21" x14ac:dyDescent="0.25">
      <c r="D36" s="47" t="s">
        <v>5</v>
      </c>
      <c r="E36" s="47">
        <v>19</v>
      </c>
      <c r="F36" s="25">
        <v>44013</v>
      </c>
      <c r="G36" s="23">
        <v>202.27170000000001</v>
      </c>
      <c r="H36" s="34">
        <v>5.9523928005150273E-2</v>
      </c>
      <c r="S36" s="11">
        <v>18</v>
      </c>
      <c r="T36" s="4">
        <v>380.80232661422372</v>
      </c>
      <c r="U36" s="7">
        <v>0.38923179239802885</v>
      </c>
    </row>
    <row r="37" spans="4:21" x14ac:dyDescent="0.25">
      <c r="D37" s="47" t="s">
        <v>5</v>
      </c>
      <c r="E37" s="47">
        <v>20</v>
      </c>
      <c r="F37" s="25">
        <v>43983</v>
      </c>
      <c r="G37" s="23">
        <v>190.90809999999999</v>
      </c>
      <c r="H37" s="34">
        <v>-3.5432336857805335E-2</v>
      </c>
      <c r="S37" s="11">
        <v>19</v>
      </c>
      <c r="T37" s="4">
        <v>273.85048238318808</v>
      </c>
      <c r="U37" s="7">
        <v>-9.4676449896735626E-4</v>
      </c>
    </row>
    <row r="38" spans="4:21" x14ac:dyDescent="0.25">
      <c r="D38" s="47" t="s">
        <v>5</v>
      </c>
      <c r="E38" s="47">
        <v>21</v>
      </c>
      <c r="F38" s="25">
        <v>43952</v>
      </c>
      <c r="G38" s="23">
        <v>197.92089999999999</v>
      </c>
      <c r="H38" s="34">
        <v>5.2991985018128851E-2</v>
      </c>
      <c r="S38" s="11">
        <v>20</v>
      </c>
      <c r="T38" s="4">
        <v>329.19076630464411</v>
      </c>
      <c r="U38" s="7">
        <v>0.20094402358412355</v>
      </c>
    </row>
    <row r="39" spans="4:21" x14ac:dyDescent="0.25">
      <c r="D39" s="47" t="s">
        <v>5</v>
      </c>
      <c r="E39" s="47">
        <v>22</v>
      </c>
      <c r="F39" s="25">
        <v>43922</v>
      </c>
      <c r="G39" s="23">
        <v>187.9605</v>
      </c>
      <c r="H39" s="34">
        <v>0.14218167300366358</v>
      </c>
      <c r="S39" s="11">
        <v>21</v>
      </c>
      <c r="T39" s="4">
        <v>307.8269664388198</v>
      </c>
      <c r="U39" s="7">
        <v>0.1230052403736448</v>
      </c>
    </row>
    <row r="40" spans="4:21" x14ac:dyDescent="0.25">
      <c r="D40" s="47" t="s">
        <v>5</v>
      </c>
      <c r="E40" s="47">
        <v>23</v>
      </c>
      <c r="F40" s="25">
        <v>43891</v>
      </c>
      <c r="G40" s="23">
        <v>164.56270000000001</v>
      </c>
      <c r="H40" s="34">
        <v>-7.0942766474320629E-2</v>
      </c>
      <c r="S40" s="11">
        <v>22</v>
      </c>
      <c r="T40" s="4">
        <v>308.9239635573926</v>
      </c>
      <c r="U40" s="7">
        <v>0.12700727283715518</v>
      </c>
    </row>
    <row r="41" spans="4:21" x14ac:dyDescent="0.25">
      <c r="D41" s="47" t="s">
        <v>5</v>
      </c>
      <c r="E41" s="47">
        <v>24</v>
      </c>
      <c r="F41" s="25">
        <v>43862</v>
      </c>
      <c r="G41" s="23">
        <v>177.12870000000001</v>
      </c>
      <c r="H41" s="34">
        <v>-6.6437679659228421E-2</v>
      </c>
      <c r="S41" s="11">
        <v>23</v>
      </c>
      <c r="T41" s="4">
        <v>285.38460816869639</v>
      </c>
      <c r="U41" s="7">
        <v>4.1131692272067255E-2</v>
      </c>
    </row>
    <row r="42" spans="4:21" x14ac:dyDescent="0.25">
      <c r="D42" s="47" t="s">
        <v>5</v>
      </c>
      <c r="E42" s="47">
        <v>25</v>
      </c>
      <c r="F42" s="25">
        <v>43831</v>
      </c>
      <c r="G42" s="23">
        <v>189.73419999999999</v>
      </c>
      <c r="H42" s="34">
        <v>-4.0634957875437583E-2</v>
      </c>
      <c r="S42" s="11">
        <v>24</v>
      </c>
      <c r="T42" s="4">
        <v>364.04493154003251</v>
      </c>
      <c r="U42" s="7">
        <v>0.32809795899468286</v>
      </c>
    </row>
    <row r="43" spans="4:21" x14ac:dyDescent="0.25">
      <c r="D43" s="47" t="s">
        <v>5</v>
      </c>
      <c r="E43" s="47">
        <v>26</v>
      </c>
      <c r="F43" s="25">
        <v>43800</v>
      </c>
      <c r="G43" s="23">
        <v>197.7706</v>
      </c>
      <c r="H43" s="34">
        <v>3.0327815901290522E-2</v>
      </c>
      <c r="S43" s="11">
        <v>25</v>
      </c>
      <c r="T43" s="4">
        <v>290.62191525912334</v>
      </c>
      <c r="U43" s="7">
        <v>6.023828119777952E-2</v>
      </c>
    </row>
    <row r="44" spans="4:21" x14ac:dyDescent="0.25">
      <c r="D44" s="47" t="s">
        <v>5</v>
      </c>
      <c r="E44" s="47">
        <v>27</v>
      </c>
      <c r="F44" s="25">
        <v>43770</v>
      </c>
      <c r="G44" s="23">
        <v>191.94919999999999</v>
      </c>
      <c r="H44" s="34">
        <v>0.10432919560544751</v>
      </c>
      <c r="S44" s="11">
        <v>26</v>
      </c>
      <c r="T44" s="4">
        <v>296.9229859653824</v>
      </c>
      <c r="U44" s="7">
        <v>8.3225661104601834E-2</v>
      </c>
    </row>
    <row r="45" spans="4:21" x14ac:dyDescent="0.25">
      <c r="D45" s="47" t="s">
        <v>5</v>
      </c>
      <c r="E45" s="47">
        <v>28</v>
      </c>
      <c r="F45" s="25">
        <v>43739</v>
      </c>
      <c r="G45" s="23">
        <v>173.8152</v>
      </c>
      <c r="H45" s="34">
        <v>9.4507288101013165E-2</v>
      </c>
      <c r="S45" s="11">
        <v>27</v>
      </c>
      <c r="T45" s="4">
        <v>257.19556997613051</v>
      </c>
      <c r="U45" s="7">
        <v>-6.1706723665205576E-2</v>
      </c>
    </row>
    <row r="46" spans="4:21" x14ac:dyDescent="0.25">
      <c r="D46" s="47" t="s">
        <v>5</v>
      </c>
      <c r="E46" s="47">
        <v>29</v>
      </c>
      <c r="F46" s="25">
        <v>43709</v>
      </c>
      <c r="G46" s="23">
        <v>158.80680000000001</v>
      </c>
      <c r="H46" s="34">
        <v>-3.8587437878638275E-2</v>
      </c>
      <c r="S46" s="11">
        <v>28</v>
      </c>
      <c r="T46" s="4">
        <v>401.42592309247243</v>
      </c>
      <c r="U46" s="7">
        <v>0.46447018748849889</v>
      </c>
    </row>
    <row r="47" spans="4:21" x14ac:dyDescent="0.25">
      <c r="D47" s="47" t="s">
        <v>5</v>
      </c>
      <c r="E47" s="47">
        <v>30</v>
      </c>
      <c r="F47" s="25">
        <v>43678</v>
      </c>
      <c r="G47" s="23">
        <v>165.1807</v>
      </c>
      <c r="H47" s="34">
        <v>-5.2450579122450547E-2</v>
      </c>
      <c r="S47" s="11">
        <v>29</v>
      </c>
      <c r="T47" s="4">
        <v>442.74646744460182</v>
      </c>
      <c r="U47" s="7">
        <v>0.61521457606290109</v>
      </c>
    </row>
    <row r="48" spans="4:21" x14ac:dyDescent="0.25">
      <c r="D48" s="47" t="s">
        <v>5</v>
      </c>
      <c r="E48" s="47">
        <v>31</v>
      </c>
      <c r="F48" s="25">
        <v>43647</v>
      </c>
      <c r="G48" s="23">
        <v>174.32409999999999</v>
      </c>
      <c r="H48" s="34">
        <v>3.6426884633037782E-2</v>
      </c>
      <c r="S48" s="11">
        <v>30</v>
      </c>
      <c r="T48" s="4">
        <v>336.10497519205643</v>
      </c>
      <c r="U48" s="7">
        <v>0.22616823608061143</v>
      </c>
    </row>
    <row r="49" spans="4:21" x14ac:dyDescent="0.25">
      <c r="D49" s="47" t="s">
        <v>5</v>
      </c>
      <c r="E49" s="47">
        <v>32</v>
      </c>
      <c r="F49" s="25">
        <v>43617</v>
      </c>
      <c r="G49" s="23">
        <v>168.19720000000001</v>
      </c>
      <c r="H49" s="34">
        <v>4.144164671878503E-2</v>
      </c>
      <c r="S49" s="11">
        <v>31</v>
      </c>
      <c r="T49" s="4">
        <v>302.99691328471846</v>
      </c>
      <c r="U49" s="7">
        <v>0.10538438322103705</v>
      </c>
    </row>
    <row r="50" spans="4:21" x14ac:dyDescent="0.25">
      <c r="D50" s="47" t="s">
        <v>5</v>
      </c>
      <c r="E50" s="47">
        <v>33</v>
      </c>
      <c r="F50" s="25">
        <v>43586</v>
      </c>
      <c r="G50" s="23">
        <v>161.5042</v>
      </c>
      <c r="H50" s="34">
        <v>6.1752007625550664E-3</v>
      </c>
      <c r="S50" s="11">
        <v>32</v>
      </c>
      <c r="T50" s="4">
        <v>299.62782474085378</v>
      </c>
      <c r="U50" s="7">
        <v>9.309337397706674E-2</v>
      </c>
    </row>
    <row r="51" spans="4:21" x14ac:dyDescent="0.25">
      <c r="D51" s="47" t="s">
        <v>5</v>
      </c>
      <c r="E51" s="47">
        <v>34</v>
      </c>
      <c r="F51" s="25">
        <v>43556</v>
      </c>
      <c r="G51" s="23">
        <v>160.51300000000001</v>
      </c>
      <c r="H51" s="34">
        <v>-2.5097603817177738E-2</v>
      </c>
      <c r="S51" s="11">
        <v>33</v>
      </c>
      <c r="T51" s="4">
        <v>405.71536956066944</v>
      </c>
      <c r="U51" s="7">
        <v>0.48011881930856015</v>
      </c>
    </row>
    <row r="52" spans="4:21" x14ac:dyDescent="0.25">
      <c r="D52" s="47" t="s">
        <v>5</v>
      </c>
      <c r="E52" s="47">
        <v>35</v>
      </c>
      <c r="F52" s="25">
        <v>43525</v>
      </c>
      <c r="G52" s="23">
        <v>164.64519999999999</v>
      </c>
      <c r="H52" s="34">
        <v>-3.826547450555251E-2</v>
      </c>
      <c r="S52" s="11">
        <v>34</v>
      </c>
      <c r="T52" s="4">
        <v>354.12080817649661</v>
      </c>
      <c r="U52" s="7">
        <v>0.29189306547187832</v>
      </c>
    </row>
    <row r="53" spans="4:21" x14ac:dyDescent="0.25">
      <c r="D53" s="47" t="s">
        <v>5</v>
      </c>
      <c r="E53" s="47">
        <v>36</v>
      </c>
      <c r="F53" s="25">
        <v>43497</v>
      </c>
      <c r="G53" s="23">
        <v>171.1961</v>
      </c>
      <c r="H53" s="34">
        <v>-3.2692025177701645E-2</v>
      </c>
      <c r="S53" s="11">
        <v>35</v>
      </c>
      <c r="T53" s="4">
        <v>218.04270969846903</v>
      </c>
      <c r="U53" s="7">
        <v>-0.20454303127040596</v>
      </c>
    </row>
    <row r="54" spans="4:21" x14ac:dyDescent="0.25">
      <c r="D54" s="47" t="s">
        <v>5</v>
      </c>
      <c r="E54" s="47">
        <v>37</v>
      </c>
      <c r="F54" s="25">
        <v>43466</v>
      </c>
      <c r="G54" s="23">
        <v>176.982</v>
      </c>
      <c r="H54" s="34">
        <v>0.13448545531467548</v>
      </c>
      <c r="S54" s="11">
        <v>36</v>
      </c>
      <c r="T54" s="4">
        <v>243.26811079426352</v>
      </c>
      <c r="U54" s="7">
        <v>-0.11251646859193931</v>
      </c>
    </row>
    <row r="55" spans="4:21" x14ac:dyDescent="0.25">
      <c r="D55" s="47" t="s">
        <v>5</v>
      </c>
      <c r="E55" s="47">
        <v>38</v>
      </c>
      <c r="F55" s="25">
        <v>43435</v>
      </c>
      <c r="G55" s="23">
        <v>156.00200000000001</v>
      </c>
      <c r="H55" s="34">
        <v>-0.17409136655949398</v>
      </c>
      <c r="S55" s="11">
        <v>37</v>
      </c>
      <c r="T55" s="4">
        <v>304.36114559132329</v>
      </c>
      <c r="U55" s="7">
        <v>0.11036133519872782</v>
      </c>
    </row>
    <row r="56" spans="4:21" x14ac:dyDescent="0.25">
      <c r="D56" s="47" t="s">
        <v>5</v>
      </c>
      <c r="E56" s="47">
        <v>39</v>
      </c>
      <c r="F56" s="25">
        <v>43405</v>
      </c>
      <c r="G56" s="23">
        <v>188.8853</v>
      </c>
      <c r="H56" s="34">
        <v>4.9866130261341901E-2</v>
      </c>
      <c r="S56" s="11">
        <v>38</v>
      </c>
      <c r="T56" s="4">
        <v>292.91070006663648</v>
      </c>
      <c r="U56" s="7">
        <v>6.8588158281844835E-2</v>
      </c>
    </row>
    <row r="57" spans="4:21" x14ac:dyDescent="0.25">
      <c r="D57" s="47" t="s">
        <v>5</v>
      </c>
      <c r="E57" s="47">
        <v>40</v>
      </c>
      <c r="F57" s="25">
        <v>43374</v>
      </c>
      <c r="G57" s="23">
        <v>179.91370000000001</v>
      </c>
      <c r="H57" s="34">
        <v>-4.6202382669030428E-2</v>
      </c>
      <c r="S57" s="11">
        <v>39</v>
      </c>
      <c r="T57" s="4">
        <v>278.95369708131312</v>
      </c>
      <c r="U57" s="7">
        <v>1.7670632524581675E-2</v>
      </c>
    </row>
    <row r="58" spans="4:21" x14ac:dyDescent="0.25">
      <c r="D58" s="47" t="s">
        <v>5</v>
      </c>
      <c r="E58" s="47">
        <v>41</v>
      </c>
      <c r="F58" s="25">
        <v>43344</v>
      </c>
      <c r="G58" s="23">
        <v>188.62880000000001</v>
      </c>
      <c r="H58" s="34">
        <v>1.4673401434096567E-2</v>
      </c>
      <c r="S58" s="11">
        <v>40</v>
      </c>
      <c r="T58" s="4">
        <v>400.67360958760776</v>
      </c>
      <c r="U58" s="7">
        <v>0.46172561959654068</v>
      </c>
    </row>
    <row r="59" spans="4:21" x14ac:dyDescent="0.25">
      <c r="D59" s="47" t="s">
        <v>5</v>
      </c>
      <c r="E59" s="47">
        <v>42</v>
      </c>
      <c r="F59" s="25">
        <v>43313</v>
      </c>
      <c r="G59" s="23">
        <v>185.90100000000001</v>
      </c>
      <c r="H59" s="34">
        <v>7.8877787424496582E-2</v>
      </c>
      <c r="S59" s="11">
        <v>41</v>
      </c>
      <c r="T59" s="4">
        <v>295.54578553377513</v>
      </c>
      <c r="U59" s="7">
        <v>7.82013991965822E-2</v>
      </c>
    </row>
    <row r="60" spans="4:21" x14ac:dyDescent="0.25">
      <c r="D60" s="47" t="s">
        <v>5</v>
      </c>
      <c r="E60" s="47">
        <v>43</v>
      </c>
      <c r="F60" s="25">
        <v>43282</v>
      </c>
      <c r="G60" s="23">
        <v>172.30959999999999</v>
      </c>
      <c r="H60" s="34">
        <v>3.988268024936481E-2</v>
      </c>
      <c r="S60" s="11">
        <v>42</v>
      </c>
      <c r="T60" s="4">
        <v>329.42337967068215</v>
      </c>
      <c r="U60" s="7">
        <v>0.2017926367906393</v>
      </c>
    </row>
    <row r="61" spans="4:21" x14ac:dyDescent="0.25">
      <c r="D61" s="47" t="s">
        <v>5</v>
      </c>
      <c r="E61" s="47">
        <v>44</v>
      </c>
      <c r="F61" s="25">
        <v>43252</v>
      </c>
      <c r="G61" s="23">
        <v>165.70099999999999</v>
      </c>
      <c r="H61" s="34">
        <v>2.7434888179547645E-2</v>
      </c>
      <c r="S61" s="11">
        <v>43</v>
      </c>
      <c r="T61" s="4">
        <v>366.63726543027042</v>
      </c>
      <c r="U61" s="7">
        <v>0.33755523487019956</v>
      </c>
    </row>
    <row r="62" spans="4:21" x14ac:dyDescent="0.25">
      <c r="D62" s="47" t="s">
        <v>5</v>
      </c>
      <c r="E62" s="47">
        <v>45</v>
      </c>
      <c r="F62" s="25">
        <v>43221</v>
      </c>
      <c r="G62" s="23">
        <v>161.2764</v>
      </c>
      <c r="H62" s="34">
        <v>4.2377926017178158E-2</v>
      </c>
      <c r="S62" s="11">
        <v>44</v>
      </c>
      <c r="T62" s="4">
        <v>334.7357880394926</v>
      </c>
      <c r="U62" s="7">
        <v>0.2211732079803459</v>
      </c>
    </row>
    <row r="63" spans="4:21" x14ac:dyDescent="0.25">
      <c r="D63" s="47" t="s">
        <v>5</v>
      </c>
      <c r="E63" s="47">
        <v>46</v>
      </c>
      <c r="F63" s="25">
        <v>43191</v>
      </c>
      <c r="G63" s="23">
        <v>154.71969999999999</v>
      </c>
      <c r="H63" s="34">
        <v>3.9386873415842238E-2</v>
      </c>
      <c r="S63" s="11">
        <v>45</v>
      </c>
      <c r="T63" s="4">
        <v>360.14209295266238</v>
      </c>
      <c r="U63" s="7">
        <v>0.31385973861830063</v>
      </c>
    </row>
    <row r="64" spans="4:21" x14ac:dyDescent="0.25">
      <c r="D64" s="47" t="s">
        <v>5</v>
      </c>
      <c r="E64" s="47">
        <v>47</v>
      </c>
      <c r="F64" s="25">
        <v>43160</v>
      </c>
      <c r="G64" s="23">
        <v>148.85669999999999</v>
      </c>
      <c r="H64" s="34">
        <v>-2.2230527761557206E-2</v>
      </c>
      <c r="S64" s="11">
        <v>46</v>
      </c>
      <c r="T64" s="4">
        <v>337.89053113282102</v>
      </c>
      <c r="U64" s="7">
        <v>0.23268224848718044</v>
      </c>
    </row>
    <row r="65" spans="4:21" x14ac:dyDescent="0.25">
      <c r="D65" s="47" t="s">
        <v>5</v>
      </c>
      <c r="E65" s="47">
        <v>48</v>
      </c>
      <c r="F65" s="25">
        <v>43132</v>
      </c>
      <c r="G65" s="23">
        <v>152.24109999999999</v>
      </c>
      <c r="H65" s="34">
        <v>-3.5938635885823245E-2</v>
      </c>
      <c r="S65" s="11">
        <v>47</v>
      </c>
      <c r="T65" s="4">
        <v>287.47944318214729</v>
      </c>
      <c r="U65" s="7">
        <v>4.8774007450101298E-2</v>
      </c>
    </row>
    <row r="66" spans="4:21" x14ac:dyDescent="0.25">
      <c r="D66" s="47" t="s">
        <v>5</v>
      </c>
      <c r="E66" s="47">
        <v>49</v>
      </c>
      <c r="F66" s="25">
        <v>43101</v>
      </c>
      <c r="G66" s="23">
        <v>157.91640000000001</v>
      </c>
      <c r="H66" s="34">
        <v>6.8680097206629265E-2</v>
      </c>
      <c r="S66" s="11">
        <v>48</v>
      </c>
      <c r="T66" s="4">
        <v>327.59224059455767</v>
      </c>
      <c r="U66" s="7">
        <v>0.19511232933697298</v>
      </c>
    </row>
    <row r="67" spans="4:21" x14ac:dyDescent="0.25">
      <c r="D67" s="47" t="s">
        <v>5</v>
      </c>
      <c r="E67" s="47">
        <v>50</v>
      </c>
      <c r="F67" s="25">
        <v>43070</v>
      </c>
      <c r="G67" s="23">
        <v>147.76769999999999</v>
      </c>
      <c r="H67" s="34">
        <v>1.9155350569999285E-4</v>
      </c>
      <c r="S67" s="11">
        <v>49</v>
      </c>
      <c r="T67" s="4">
        <v>400.90343438118271</v>
      </c>
      <c r="U67" s="7">
        <v>0.46256405961541969</v>
      </c>
    </row>
    <row r="68" spans="4:21" x14ac:dyDescent="0.25">
      <c r="D68" s="47" t="s">
        <v>5</v>
      </c>
      <c r="E68" s="47">
        <v>51</v>
      </c>
      <c r="F68" s="25">
        <v>43040</v>
      </c>
      <c r="G68" s="23">
        <v>147.73939999999999</v>
      </c>
      <c r="H68" s="34">
        <v>5.0020077966475007E-2</v>
      </c>
      <c r="S68" s="11">
        <v>50</v>
      </c>
      <c r="T68" s="4">
        <v>335.09410751372701</v>
      </c>
      <c r="U68" s="7">
        <v>0.22248041849522826</v>
      </c>
    </row>
    <row r="69" spans="4:21" x14ac:dyDescent="0.25">
      <c r="D69" s="47" t="s">
        <v>5</v>
      </c>
      <c r="E69" s="47">
        <v>52</v>
      </c>
      <c r="F69" s="25">
        <v>43009</v>
      </c>
      <c r="G69" s="23">
        <v>140.70150000000001</v>
      </c>
      <c r="H69" s="34">
        <v>1.1337351805077889E-2</v>
      </c>
      <c r="S69" s="11">
        <v>51</v>
      </c>
      <c r="T69" s="4">
        <v>205.98503494221387</v>
      </c>
      <c r="U69" s="7">
        <v>-0.24853148392173263</v>
      </c>
    </row>
    <row r="70" spans="4:21" x14ac:dyDescent="0.25">
      <c r="D70" s="47" t="s">
        <v>5</v>
      </c>
      <c r="E70" s="47">
        <v>53</v>
      </c>
      <c r="F70" s="25">
        <v>42979</v>
      </c>
      <c r="G70" s="23">
        <v>139.1242</v>
      </c>
      <c r="H70" s="34">
        <v>0</v>
      </c>
      <c r="S70" s="11">
        <v>52</v>
      </c>
      <c r="T70" s="4">
        <v>321.59730581896895</v>
      </c>
      <c r="U70" s="7">
        <v>0.17324178548381641</v>
      </c>
    </row>
    <row r="71" spans="4:21" x14ac:dyDescent="0.25">
      <c r="D71" s="47" t="s">
        <v>5</v>
      </c>
      <c r="E71" s="47">
        <v>54</v>
      </c>
      <c r="F71" s="25">
        <v>42948</v>
      </c>
      <c r="G71" s="23">
        <v>139.1242</v>
      </c>
      <c r="H71" s="34">
        <v>1.5256112369520958E-2</v>
      </c>
      <c r="S71" s="11">
        <v>53</v>
      </c>
      <c r="T71" s="4">
        <v>422.44915402890967</v>
      </c>
      <c r="U71" s="7">
        <v>0.54116651719714581</v>
      </c>
    </row>
    <row r="72" spans="4:21" x14ac:dyDescent="0.25">
      <c r="D72" s="47" t="s">
        <v>5</v>
      </c>
      <c r="E72" s="47">
        <v>55</v>
      </c>
      <c r="F72" s="25">
        <v>42917</v>
      </c>
      <c r="G72" s="23">
        <v>137.03360000000001</v>
      </c>
      <c r="H72" s="34">
        <v>-2.0008381522318985E-2</v>
      </c>
      <c r="S72" s="11">
        <v>54</v>
      </c>
      <c r="T72" s="4">
        <v>336.68246892638831</v>
      </c>
      <c r="U72" s="7">
        <v>0.22827503165294338</v>
      </c>
    </row>
    <row r="73" spans="4:21" x14ac:dyDescent="0.25">
      <c r="D73" s="47" t="s">
        <v>5</v>
      </c>
      <c r="E73" s="47">
        <v>56</v>
      </c>
      <c r="F73" s="25">
        <v>42887</v>
      </c>
      <c r="G73" s="23">
        <v>139.8314</v>
      </c>
      <c r="H73" s="34">
        <v>6.0986981927057204E-2</v>
      </c>
      <c r="S73" s="11">
        <v>55</v>
      </c>
      <c r="T73" s="4">
        <v>325.89931539937527</v>
      </c>
      <c r="U73" s="7">
        <v>0.18893624967850586</v>
      </c>
    </row>
    <row r="74" spans="4:21" x14ac:dyDescent="0.25">
      <c r="D74" s="47" t="s">
        <v>5</v>
      </c>
      <c r="E74" s="47">
        <v>57</v>
      </c>
      <c r="F74" s="25">
        <v>42856</v>
      </c>
      <c r="G74" s="23">
        <v>131.7937</v>
      </c>
      <c r="H74" s="34">
        <v>1.8844105535030797E-2</v>
      </c>
      <c r="S74" s="11">
        <v>56</v>
      </c>
      <c r="T74" s="4">
        <v>261.19050715574434</v>
      </c>
      <c r="U74" s="7">
        <v>-4.7132511926801901E-2</v>
      </c>
    </row>
    <row r="75" spans="4:21" x14ac:dyDescent="0.25">
      <c r="D75" s="47" t="s">
        <v>5</v>
      </c>
      <c r="E75" s="47">
        <v>58</v>
      </c>
      <c r="F75" s="25">
        <v>42826</v>
      </c>
      <c r="G75" s="23">
        <v>129.3561</v>
      </c>
      <c r="H75" s="34">
        <v>2.5381656244228168E-2</v>
      </c>
      <c r="S75" s="11">
        <v>57</v>
      </c>
      <c r="T75" s="4">
        <v>348.12280370153587</v>
      </c>
      <c r="U75" s="7">
        <v>0.27001132283220541</v>
      </c>
    </row>
    <row r="76" spans="4:21" x14ac:dyDescent="0.25">
      <c r="D76" s="47" t="s">
        <v>5</v>
      </c>
      <c r="E76" s="47">
        <v>59</v>
      </c>
      <c r="F76" s="25">
        <v>42795</v>
      </c>
      <c r="G76" s="23">
        <v>126.1541</v>
      </c>
      <c r="H76" s="34">
        <v>-1.2446758793556834E-2</v>
      </c>
      <c r="S76" s="11">
        <v>58</v>
      </c>
      <c r="T76" s="4">
        <v>351.54505835441421</v>
      </c>
      <c r="U76" s="7">
        <v>0.28249629110362329</v>
      </c>
    </row>
    <row r="77" spans="4:21" x14ac:dyDescent="0.25">
      <c r="D77" s="47" t="s">
        <v>5</v>
      </c>
      <c r="E77" s="47">
        <v>60</v>
      </c>
      <c r="F77" s="25">
        <v>42767</v>
      </c>
      <c r="G77" s="23">
        <v>127.7441</v>
      </c>
      <c r="H77" s="34">
        <v>4.7847200006562174E-2</v>
      </c>
      <c r="S77" s="11">
        <v>59</v>
      </c>
      <c r="T77" s="4">
        <v>371.52778374871826</v>
      </c>
      <c r="U77" s="7">
        <v>0.35539667924817864</v>
      </c>
    </row>
    <row r="78" spans="4:21" x14ac:dyDescent="0.25">
      <c r="S78" s="11">
        <v>60</v>
      </c>
      <c r="T78" s="4">
        <v>359.3774669971973</v>
      </c>
      <c r="U78" s="7">
        <v>0.31107025280798695</v>
      </c>
    </row>
    <row r="79" spans="4:21" x14ac:dyDescent="0.25">
      <c r="S79" s="11">
        <v>61</v>
      </c>
      <c r="T79" s="4">
        <v>362.11718766839942</v>
      </c>
      <c r="U79" s="7">
        <v>0.32106522078143596</v>
      </c>
    </row>
    <row r="80" spans="4:21" x14ac:dyDescent="0.25">
      <c r="S80" s="11">
        <v>62</v>
      </c>
      <c r="T80" s="4">
        <v>271.38375685132183</v>
      </c>
      <c r="U80" s="7">
        <v>-9.9457996741387777E-3</v>
      </c>
    </row>
    <row r="81" spans="19:21" x14ac:dyDescent="0.25">
      <c r="S81" s="11">
        <v>63</v>
      </c>
      <c r="T81" s="4">
        <v>317.10538011121383</v>
      </c>
      <c r="U81" s="7">
        <v>0.15685447488677462</v>
      </c>
    </row>
    <row r="82" spans="19:21" x14ac:dyDescent="0.25">
      <c r="S82" s="11">
        <v>64</v>
      </c>
      <c r="T82" s="4">
        <v>266.62587316986759</v>
      </c>
      <c r="U82" s="7">
        <v>-2.7303370289783024E-2</v>
      </c>
    </row>
    <row r="83" spans="19:21" x14ac:dyDescent="0.25">
      <c r="S83" s="11">
        <v>65</v>
      </c>
      <c r="T83" s="4">
        <v>212.96225319334178</v>
      </c>
      <c r="U83" s="7">
        <v>-0.22307740252693531</v>
      </c>
    </row>
    <row r="84" spans="19:21" x14ac:dyDescent="0.25">
      <c r="S84" s="11">
        <v>66</v>
      </c>
      <c r="T84" s="4">
        <v>256.19612532025377</v>
      </c>
      <c r="U84" s="7">
        <v>-6.5352868117712792E-2</v>
      </c>
    </row>
    <row r="85" spans="19:21" x14ac:dyDescent="0.25">
      <c r="S85" s="11">
        <v>67</v>
      </c>
      <c r="T85" s="4">
        <v>266.76654091364423</v>
      </c>
      <c r="U85" s="7">
        <v>-2.6790190384720636E-2</v>
      </c>
    </row>
    <row r="86" spans="19:21" x14ac:dyDescent="0.25">
      <c r="S86" s="11">
        <v>68</v>
      </c>
      <c r="T86" s="4">
        <v>316.53851106478066</v>
      </c>
      <c r="U86" s="7">
        <v>0.15478643998679598</v>
      </c>
    </row>
    <row r="87" spans="19:21" x14ac:dyDescent="0.25">
      <c r="S87" s="11">
        <v>69</v>
      </c>
      <c r="T87" s="4">
        <v>280.32517952446773</v>
      </c>
      <c r="U87" s="7">
        <v>2.2674034236137786E-2</v>
      </c>
    </row>
    <row r="88" spans="19:21" x14ac:dyDescent="0.25">
      <c r="S88" s="11">
        <v>70</v>
      </c>
      <c r="T88" s="4">
        <v>295.79931217846661</v>
      </c>
      <c r="U88" s="7">
        <v>7.9126307608137658E-2</v>
      </c>
    </row>
    <row r="89" spans="19:21" x14ac:dyDescent="0.25">
      <c r="S89" s="11">
        <v>71</v>
      </c>
      <c r="T89" s="4">
        <v>417.90108430087514</v>
      </c>
      <c r="U89" s="7">
        <v>0.52457438364479625</v>
      </c>
    </row>
    <row r="90" spans="19:21" x14ac:dyDescent="0.25">
      <c r="S90" s="11">
        <v>72</v>
      </c>
      <c r="T90" s="4">
        <v>405.88010629384917</v>
      </c>
      <c r="U90" s="7">
        <v>0.48071980698934413</v>
      </c>
    </row>
    <row r="91" spans="19:21" x14ac:dyDescent="0.25">
      <c r="S91" s="11">
        <v>73</v>
      </c>
      <c r="T91" s="4">
        <v>395.46587207597884</v>
      </c>
      <c r="U91" s="7">
        <v>0.44272690553419736</v>
      </c>
    </row>
    <row r="92" spans="19:21" x14ac:dyDescent="0.25">
      <c r="S92" s="11">
        <v>74</v>
      </c>
      <c r="T92" s="4">
        <v>415.38926469835087</v>
      </c>
      <c r="U92" s="7">
        <v>0.51541083761391726</v>
      </c>
    </row>
    <row r="93" spans="19:21" x14ac:dyDescent="0.25">
      <c r="S93" s="11">
        <v>75</v>
      </c>
      <c r="T93" s="4">
        <v>317.58440887388468</v>
      </c>
      <c r="U93" s="7">
        <v>0.15860205345986889</v>
      </c>
    </row>
    <row r="94" spans="19:21" x14ac:dyDescent="0.25">
      <c r="S94" s="11">
        <v>76</v>
      </c>
      <c r="T94" s="4">
        <v>383.50109090356187</v>
      </c>
      <c r="U94" s="7">
        <v>0.39907734450972909</v>
      </c>
    </row>
    <row r="95" spans="19:21" x14ac:dyDescent="0.25">
      <c r="S95" s="11">
        <v>77</v>
      </c>
      <c r="T95" s="4">
        <v>390.96223146870796</v>
      </c>
      <c r="U95" s="7">
        <v>0.42629685698700492</v>
      </c>
    </row>
    <row r="96" spans="19:21" x14ac:dyDescent="0.25">
      <c r="S96" s="11">
        <v>78</v>
      </c>
      <c r="T96" s="4">
        <v>326.92884416006973</v>
      </c>
      <c r="U96" s="7">
        <v>0.19269214607299889</v>
      </c>
    </row>
    <row r="97" spans="19:21" x14ac:dyDescent="0.25">
      <c r="S97" s="11">
        <v>79</v>
      </c>
      <c r="T97" s="4">
        <v>294.87087050127928</v>
      </c>
      <c r="U97" s="7">
        <v>7.5739194123816134E-2</v>
      </c>
    </row>
    <row r="98" spans="19:21" x14ac:dyDescent="0.25">
      <c r="S98" s="11">
        <v>80</v>
      </c>
      <c r="T98" s="4">
        <v>257.75285763935079</v>
      </c>
      <c r="U98" s="7">
        <v>-5.9673643284262612E-2</v>
      </c>
    </row>
    <row r="99" spans="19:21" x14ac:dyDescent="0.25">
      <c r="S99" s="11">
        <v>81</v>
      </c>
      <c r="T99" s="4">
        <v>344.67254593057999</v>
      </c>
      <c r="U99" s="7">
        <v>0.25742419441311881</v>
      </c>
    </row>
    <row r="100" spans="19:21" x14ac:dyDescent="0.25">
      <c r="S100" s="11">
        <v>82</v>
      </c>
      <c r="T100" s="4">
        <v>335.47329928022373</v>
      </c>
      <c r="U100" s="7">
        <v>0.22386377468980956</v>
      </c>
    </row>
    <row r="101" spans="19:21" x14ac:dyDescent="0.25">
      <c r="S101" s="11">
        <v>83</v>
      </c>
      <c r="T101" s="4">
        <v>257.10026634411514</v>
      </c>
      <c r="U101" s="7">
        <v>-6.2054407558589153E-2</v>
      </c>
    </row>
    <row r="102" spans="19:21" x14ac:dyDescent="0.25">
      <c r="S102" s="11">
        <v>84</v>
      </c>
      <c r="T102" s="4">
        <v>409.20574785794389</v>
      </c>
      <c r="U102" s="7">
        <v>0.4928523142459007</v>
      </c>
    </row>
    <row r="103" spans="19:21" x14ac:dyDescent="0.25">
      <c r="S103" s="11">
        <v>85</v>
      </c>
      <c r="T103" s="4">
        <v>318.5794995901316</v>
      </c>
      <c r="U103" s="7">
        <v>0.16223231399851001</v>
      </c>
    </row>
    <row r="104" spans="19:21" x14ac:dyDescent="0.25">
      <c r="S104" s="11">
        <v>86</v>
      </c>
      <c r="T104" s="4">
        <v>479.28269476436242</v>
      </c>
      <c r="U104" s="7">
        <v>0.74850496065215566</v>
      </c>
    </row>
    <row r="105" spans="19:21" x14ac:dyDescent="0.25">
      <c r="S105" s="11">
        <v>87</v>
      </c>
      <c r="T105" s="4">
        <v>339.13027248772823</v>
      </c>
      <c r="U105" s="7">
        <v>0.23720503625452638</v>
      </c>
    </row>
    <row r="106" spans="19:21" x14ac:dyDescent="0.25">
      <c r="S106" s="11">
        <v>88</v>
      </c>
      <c r="T106" s="4">
        <v>465.57913588585558</v>
      </c>
      <c r="U106" s="7">
        <v>0.69851204219421237</v>
      </c>
    </row>
    <row r="107" spans="19:21" x14ac:dyDescent="0.25">
      <c r="S107" s="11">
        <v>89</v>
      </c>
      <c r="T107" s="4">
        <v>372.57811184146055</v>
      </c>
      <c r="U107" s="7">
        <v>0.35922845515107271</v>
      </c>
    </row>
    <row r="108" spans="19:21" x14ac:dyDescent="0.25">
      <c r="S108" s="11">
        <v>90</v>
      </c>
      <c r="T108" s="4">
        <v>281.58424556907659</v>
      </c>
      <c r="U108" s="7">
        <v>2.7267321765264141E-2</v>
      </c>
    </row>
    <row r="109" spans="19:21" x14ac:dyDescent="0.25">
      <c r="S109" s="11">
        <v>91</v>
      </c>
      <c r="T109" s="4">
        <v>427.82279880493616</v>
      </c>
      <c r="U109" s="7">
        <v>0.56077048923766415</v>
      </c>
    </row>
    <row r="110" spans="19:21" x14ac:dyDescent="0.25">
      <c r="S110" s="11">
        <v>92</v>
      </c>
      <c r="T110" s="4">
        <v>296.47641367633531</v>
      </c>
      <c r="U110" s="7">
        <v>8.1596489279250228E-2</v>
      </c>
    </row>
    <row r="111" spans="19:21" x14ac:dyDescent="0.25">
      <c r="S111" s="11">
        <v>93</v>
      </c>
      <c r="T111" s="4">
        <v>368.61105034960332</v>
      </c>
      <c r="U111" s="7">
        <v>0.34475593867280763</v>
      </c>
    </row>
    <row r="112" spans="19:21" x14ac:dyDescent="0.25">
      <c r="S112" s="11">
        <v>94</v>
      </c>
      <c r="T112" s="4">
        <v>256.97296197389556</v>
      </c>
      <c r="U112" s="7">
        <v>-6.2518835599228217E-2</v>
      </c>
    </row>
    <row r="113" spans="19:21" x14ac:dyDescent="0.25">
      <c r="S113" s="11">
        <v>95</v>
      </c>
      <c r="T113" s="4">
        <v>223.2162970163206</v>
      </c>
      <c r="U113" s="7">
        <v>-0.18566890293560767</v>
      </c>
    </row>
    <row r="114" spans="19:21" x14ac:dyDescent="0.25">
      <c r="S114" s="11">
        <v>96</v>
      </c>
      <c r="T114" s="4">
        <v>441.11364930661802</v>
      </c>
      <c r="U114" s="7">
        <v>0.60925777719389296</v>
      </c>
    </row>
    <row r="115" spans="19:21" x14ac:dyDescent="0.25">
      <c r="S115" s="11">
        <v>97</v>
      </c>
      <c r="T115" s="4">
        <v>251.1257780261212</v>
      </c>
      <c r="U115" s="7">
        <v>-8.3850359249494022E-2</v>
      </c>
    </row>
    <row r="116" spans="19:21" x14ac:dyDescent="0.25">
      <c r="S116" s="11">
        <v>98</v>
      </c>
      <c r="T116" s="4">
        <v>324.04252645096744</v>
      </c>
      <c r="U116" s="7">
        <v>0.18216236711892098</v>
      </c>
    </row>
    <row r="117" spans="19:21" x14ac:dyDescent="0.25">
      <c r="S117" s="11">
        <v>99</v>
      </c>
      <c r="T117" s="4">
        <v>236.42531732000461</v>
      </c>
      <c r="U117" s="7">
        <v>-0.13748014548902043</v>
      </c>
    </row>
    <row r="118" spans="19:21" x14ac:dyDescent="0.25">
      <c r="S118" s="11">
        <v>100</v>
      </c>
      <c r="T118" s="4">
        <v>382.17569509660865</v>
      </c>
      <c r="U118" s="7">
        <v>0.39424207470215844</v>
      </c>
    </row>
    <row r="119" spans="19:21" x14ac:dyDescent="0.25">
      <c r="S119" s="11">
        <v>101</v>
      </c>
      <c r="T119" s="4">
        <v>339.64623783895991</v>
      </c>
      <c r="U119" s="7">
        <v>0.23908736579825574</v>
      </c>
    </row>
    <row r="120" spans="19:21" x14ac:dyDescent="0.25">
      <c r="S120" s="11">
        <v>102</v>
      </c>
      <c r="T120" s="4">
        <v>239.14188364502746</v>
      </c>
      <c r="U120" s="7">
        <v>-0.12756964851691854</v>
      </c>
    </row>
    <row r="121" spans="19:21" x14ac:dyDescent="0.25">
      <c r="S121" s="11">
        <v>103</v>
      </c>
      <c r="T121" s="4">
        <v>244.85483542968655</v>
      </c>
      <c r="U121" s="7">
        <v>-0.10672782667656588</v>
      </c>
    </row>
    <row r="122" spans="19:21" x14ac:dyDescent="0.25">
      <c r="S122" s="11">
        <v>104</v>
      </c>
      <c r="T122" s="4">
        <v>271.92956303890236</v>
      </c>
      <c r="U122" s="7">
        <v>-7.954605673261339E-3</v>
      </c>
    </row>
    <row r="123" spans="19:21" x14ac:dyDescent="0.25">
      <c r="S123" s="11">
        <v>105</v>
      </c>
      <c r="T123" s="4">
        <v>234.67369356414673</v>
      </c>
      <c r="U123" s="7">
        <v>-0.14387036750156246</v>
      </c>
    </row>
    <row r="124" spans="19:21" x14ac:dyDescent="0.25">
      <c r="S124" s="11">
        <v>106</v>
      </c>
      <c r="T124" s="4">
        <v>324.99243107112824</v>
      </c>
      <c r="U124" s="7">
        <v>0.18562778107740763</v>
      </c>
    </row>
    <row r="125" spans="19:21" x14ac:dyDescent="0.25">
      <c r="S125" s="11">
        <v>107</v>
      </c>
      <c r="T125" s="4">
        <v>380.69041932569047</v>
      </c>
      <c r="U125" s="7">
        <v>0.38882353553569904</v>
      </c>
    </row>
    <row r="126" spans="19:21" x14ac:dyDescent="0.25">
      <c r="S126" s="11">
        <v>108</v>
      </c>
      <c r="T126" s="4">
        <v>269.73578563159577</v>
      </c>
      <c r="U126" s="7">
        <v>-1.5957879568072042E-2</v>
      </c>
    </row>
    <row r="127" spans="19:21" x14ac:dyDescent="0.25">
      <c r="S127" s="11">
        <v>109</v>
      </c>
      <c r="T127" s="4">
        <v>220.74767295569688</v>
      </c>
      <c r="U127" s="7">
        <v>-0.19467486426727643</v>
      </c>
    </row>
    <row r="128" spans="19:21" x14ac:dyDescent="0.25">
      <c r="S128" s="11">
        <v>110</v>
      </c>
      <c r="T128" s="4">
        <v>236.01227047041243</v>
      </c>
      <c r="U128" s="7">
        <v>-0.13898701079707998</v>
      </c>
    </row>
    <row r="129" spans="19:21" x14ac:dyDescent="0.25">
      <c r="S129" s="11">
        <v>111</v>
      </c>
      <c r="T129" s="4">
        <v>326.72400602206261</v>
      </c>
      <c r="U129" s="7">
        <v>0.19194486163241975</v>
      </c>
    </row>
    <row r="130" spans="19:21" x14ac:dyDescent="0.25">
      <c r="S130" s="11">
        <v>112</v>
      </c>
      <c r="T130" s="4">
        <v>285.98191238594376</v>
      </c>
      <c r="U130" s="7">
        <v>4.3310759862623449E-2</v>
      </c>
    </row>
    <row r="131" spans="19:21" x14ac:dyDescent="0.25">
      <c r="S131" s="11">
        <v>113</v>
      </c>
      <c r="T131" s="4">
        <v>359.86484044244594</v>
      </c>
      <c r="U131" s="7">
        <v>0.3128482742054135</v>
      </c>
    </row>
    <row r="132" spans="19:21" x14ac:dyDescent="0.25">
      <c r="S132" s="11">
        <v>114</v>
      </c>
      <c r="T132" s="4">
        <v>277.65478607192119</v>
      </c>
      <c r="U132" s="7">
        <v>1.2931983772650257E-2</v>
      </c>
    </row>
    <row r="133" spans="19:21" x14ac:dyDescent="0.25">
      <c r="S133" s="11">
        <v>115</v>
      </c>
      <c r="T133" s="4">
        <v>263.85952295186678</v>
      </c>
      <c r="U133" s="7">
        <v>-3.7395487388760862E-2</v>
      </c>
    </row>
    <row r="134" spans="19:21" x14ac:dyDescent="0.25">
      <c r="S134" s="11">
        <v>116</v>
      </c>
      <c r="T134" s="4">
        <v>325.18164517479704</v>
      </c>
      <c r="U134" s="7">
        <v>0.18631806637772064</v>
      </c>
    </row>
    <row r="135" spans="19:21" x14ac:dyDescent="0.25">
      <c r="S135" s="11">
        <v>117</v>
      </c>
      <c r="T135" s="4">
        <v>397.88151326225062</v>
      </c>
      <c r="U135" s="7">
        <v>0.45153957630969543</v>
      </c>
    </row>
    <row r="136" spans="19:21" x14ac:dyDescent="0.25">
      <c r="S136" s="11">
        <v>118</v>
      </c>
      <c r="T136" s="4">
        <v>426.17133888385683</v>
      </c>
      <c r="U136" s="7">
        <v>0.55474568196657104</v>
      </c>
    </row>
    <row r="137" spans="19:21" x14ac:dyDescent="0.25">
      <c r="S137" s="11">
        <v>119</v>
      </c>
      <c r="T137" s="4">
        <v>248.1509885887408</v>
      </c>
      <c r="U137" s="7">
        <v>-9.4702898147675074E-2</v>
      </c>
    </row>
    <row r="138" spans="19:21" x14ac:dyDescent="0.25">
      <c r="S138" s="11">
        <v>120</v>
      </c>
      <c r="T138" s="4">
        <v>400.24038670614152</v>
      </c>
      <c r="U138" s="7">
        <v>0.46014514868535072</v>
      </c>
    </row>
    <row r="139" spans="19:21" x14ac:dyDescent="0.25">
      <c r="S139" s="11">
        <v>121</v>
      </c>
      <c r="T139" s="4">
        <v>242.64039485789957</v>
      </c>
      <c r="U139" s="7">
        <v>-0.11480648331728305</v>
      </c>
    </row>
    <row r="140" spans="19:21" x14ac:dyDescent="0.25">
      <c r="S140" s="11">
        <v>122</v>
      </c>
      <c r="T140" s="4">
        <v>310.60255710228091</v>
      </c>
      <c r="U140" s="7">
        <v>0.13313106819262677</v>
      </c>
    </row>
    <row r="141" spans="19:21" x14ac:dyDescent="0.25">
      <c r="S141" s="11">
        <v>123</v>
      </c>
      <c r="T141" s="4">
        <v>261.09462175751889</v>
      </c>
      <c r="U141" s="7">
        <v>-4.7482318202477503E-2</v>
      </c>
    </row>
    <row r="142" spans="19:21" x14ac:dyDescent="0.25">
      <c r="S142" s="11">
        <v>124</v>
      </c>
      <c r="T142" s="4">
        <v>472.53270126113716</v>
      </c>
      <c r="U142" s="7">
        <v>0.72387983386646648</v>
      </c>
    </row>
    <row r="143" spans="19:21" x14ac:dyDescent="0.25">
      <c r="S143" s="11">
        <v>125</v>
      </c>
      <c r="T143" s="4">
        <v>336.28598786935157</v>
      </c>
      <c r="U143" s="7">
        <v>0.22682860117964165</v>
      </c>
    </row>
    <row r="144" spans="19:21" x14ac:dyDescent="0.25">
      <c r="S144" s="11">
        <v>126</v>
      </c>
      <c r="T144" s="4">
        <v>316.18250800086389</v>
      </c>
      <c r="U144" s="7">
        <v>0.15348768013156722</v>
      </c>
    </row>
    <row r="145" spans="19:21" x14ac:dyDescent="0.25">
      <c r="S145" s="11">
        <v>127</v>
      </c>
      <c r="T145" s="4">
        <v>293.96425616858784</v>
      </c>
      <c r="U145" s="7">
        <v>7.2431710512523617E-2</v>
      </c>
    </row>
    <row r="146" spans="19:21" x14ac:dyDescent="0.25">
      <c r="S146" s="11">
        <v>128</v>
      </c>
      <c r="T146" s="4">
        <v>223.10098621498122</v>
      </c>
      <c r="U146" s="7">
        <v>-0.18608957639275758</v>
      </c>
    </row>
    <row r="147" spans="19:21" x14ac:dyDescent="0.25">
      <c r="S147" s="11">
        <v>129</v>
      </c>
      <c r="T147" s="4">
        <v>238.9923516251354</v>
      </c>
      <c r="U147" s="7">
        <v>-0.12811516681209956</v>
      </c>
    </row>
    <row r="148" spans="19:21" x14ac:dyDescent="0.25">
      <c r="S148" s="11">
        <v>130</v>
      </c>
      <c r="T148" s="4">
        <v>259.82893303307804</v>
      </c>
      <c r="U148" s="7">
        <v>-5.2099766396417335E-2</v>
      </c>
    </row>
    <row r="149" spans="19:21" x14ac:dyDescent="0.25">
      <c r="S149" s="11">
        <v>131</v>
      </c>
      <c r="T149" s="4">
        <v>401.28461613327352</v>
      </c>
      <c r="U149" s="7">
        <v>0.46395467561662662</v>
      </c>
    </row>
    <row r="150" spans="19:21" x14ac:dyDescent="0.25">
      <c r="S150" s="11">
        <v>132</v>
      </c>
      <c r="T150" s="4">
        <v>402.98939092881596</v>
      </c>
      <c r="U150" s="7">
        <v>0.47017398463688287</v>
      </c>
    </row>
    <row r="151" spans="19:21" x14ac:dyDescent="0.25">
      <c r="S151" s="11">
        <v>133</v>
      </c>
      <c r="T151" s="4">
        <v>371.66193593007387</v>
      </c>
      <c r="U151" s="7">
        <v>0.35588608927100007</v>
      </c>
    </row>
    <row r="152" spans="19:21" x14ac:dyDescent="0.25">
      <c r="S152" s="11">
        <v>134</v>
      </c>
      <c r="T152" s="4">
        <v>315.90097145908715</v>
      </c>
      <c r="U152" s="7">
        <v>0.1524605868413671</v>
      </c>
    </row>
    <row r="153" spans="19:21" x14ac:dyDescent="0.25">
      <c r="S153" s="11">
        <v>135</v>
      </c>
      <c r="T153" s="4">
        <v>287.35851568028767</v>
      </c>
      <c r="U153" s="7">
        <v>4.8332843312128837E-2</v>
      </c>
    </row>
    <row r="154" spans="19:21" x14ac:dyDescent="0.25">
      <c r="S154" s="11">
        <v>136</v>
      </c>
      <c r="T154" s="4">
        <v>314.17499229969826</v>
      </c>
      <c r="U154" s="7">
        <v>0.1461639206876737</v>
      </c>
    </row>
    <row r="155" spans="19:21" x14ac:dyDescent="0.25">
      <c r="S155" s="11">
        <v>137</v>
      </c>
      <c r="T155" s="4">
        <v>241.95627976068118</v>
      </c>
      <c r="U155" s="7">
        <v>-0.11730225179423892</v>
      </c>
    </row>
    <row r="156" spans="19:21" x14ac:dyDescent="0.25">
      <c r="S156" s="11">
        <v>138</v>
      </c>
      <c r="T156" s="4">
        <v>333.73662110522571</v>
      </c>
      <c r="U156" s="7">
        <v>0.21752807670360697</v>
      </c>
    </row>
    <row r="157" spans="19:21" x14ac:dyDescent="0.25">
      <c r="S157" s="11">
        <v>139</v>
      </c>
      <c r="T157" s="4">
        <v>376.3940722911874</v>
      </c>
      <c r="U157" s="7">
        <v>0.37314972927360324</v>
      </c>
    </row>
    <row r="158" spans="19:21" x14ac:dyDescent="0.25">
      <c r="S158" s="11">
        <v>140</v>
      </c>
      <c r="T158" s="4">
        <v>317.12456916026093</v>
      </c>
      <c r="U158" s="7">
        <v>0.15692447980832847</v>
      </c>
    </row>
    <row r="159" spans="19:21" x14ac:dyDescent="0.25">
      <c r="S159" s="11">
        <v>141</v>
      </c>
      <c r="T159" s="4">
        <v>313.07325307791024</v>
      </c>
      <c r="U159" s="7">
        <v>0.14214458822337828</v>
      </c>
    </row>
    <row r="160" spans="19:21" x14ac:dyDescent="0.25">
      <c r="S160" s="11">
        <v>142</v>
      </c>
      <c r="T160" s="4">
        <v>332.89150854416738</v>
      </c>
      <c r="U160" s="7">
        <v>0.21444496203774888</v>
      </c>
    </row>
    <row r="161" spans="19:21" x14ac:dyDescent="0.25">
      <c r="S161" s="11">
        <v>143</v>
      </c>
      <c r="T161" s="4">
        <v>241.83364493996791</v>
      </c>
      <c r="U161" s="7">
        <v>-0.11774964452238923</v>
      </c>
    </row>
    <row r="162" spans="19:21" x14ac:dyDescent="0.25">
      <c r="S162" s="11">
        <v>144</v>
      </c>
      <c r="T162" s="4">
        <v>269.12109366881793</v>
      </c>
      <c r="U162" s="7">
        <v>-1.8200380617934719E-2</v>
      </c>
    </row>
    <row r="163" spans="19:21" x14ac:dyDescent="0.25">
      <c r="S163" s="11">
        <v>145</v>
      </c>
      <c r="T163" s="4">
        <v>396.74210338472005</v>
      </c>
      <c r="U163" s="7">
        <v>0.44738281487256959</v>
      </c>
    </row>
    <row r="164" spans="19:21" x14ac:dyDescent="0.25">
      <c r="S164" s="11">
        <v>146</v>
      </c>
      <c r="T164" s="4">
        <v>237.50371120477251</v>
      </c>
      <c r="U164" s="7">
        <v>-0.13354598079321256</v>
      </c>
    </row>
    <row r="165" spans="19:21" x14ac:dyDescent="0.25">
      <c r="S165" s="11">
        <v>147</v>
      </c>
      <c r="T165" s="4">
        <v>290.64292744995652</v>
      </c>
      <c r="U165" s="7">
        <v>6.0314937251309653E-2</v>
      </c>
    </row>
    <row r="166" spans="19:21" x14ac:dyDescent="0.25">
      <c r="S166" s="11">
        <v>148</v>
      </c>
      <c r="T166" s="4">
        <v>329.02402063002387</v>
      </c>
      <c r="U166" s="7">
        <v>0.20033570694255531</v>
      </c>
    </row>
    <row r="167" spans="19:21" x14ac:dyDescent="0.25">
      <c r="S167" s="11">
        <v>149</v>
      </c>
      <c r="T167" s="4">
        <v>413.753561668808</v>
      </c>
      <c r="U167" s="7">
        <v>0.50944351416879341</v>
      </c>
    </row>
    <row r="168" spans="19:21" x14ac:dyDescent="0.25">
      <c r="S168" s="11">
        <v>150</v>
      </c>
      <c r="T168" s="4">
        <v>291.12344379713539</v>
      </c>
      <c r="U168" s="7">
        <v>6.2067942786236729E-2</v>
      </c>
    </row>
    <row r="169" spans="19:21" x14ac:dyDescent="0.25">
      <c r="S169" s="11">
        <v>151</v>
      </c>
      <c r="T169" s="4">
        <v>255.28422536577611</v>
      </c>
      <c r="U169" s="7">
        <v>-6.8679634578176274E-2</v>
      </c>
    </row>
    <row r="170" spans="19:21" x14ac:dyDescent="0.25">
      <c r="S170" s="11">
        <v>152</v>
      </c>
      <c r="T170" s="4">
        <v>319.35342466238717</v>
      </c>
      <c r="U170" s="7">
        <v>0.16505572457184026</v>
      </c>
    </row>
    <row r="171" spans="19:21" x14ac:dyDescent="0.25">
      <c r="S171" s="11">
        <v>153</v>
      </c>
      <c r="T171" s="4">
        <v>330.40188445604178</v>
      </c>
      <c r="U171" s="7">
        <v>0.20536238902645576</v>
      </c>
    </row>
    <row r="172" spans="19:21" x14ac:dyDescent="0.25">
      <c r="S172" s="11">
        <v>154</v>
      </c>
      <c r="T172" s="4">
        <v>336.6290976798025</v>
      </c>
      <c r="U172" s="7">
        <v>0.22808032424866842</v>
      </c>
    </row>
    <row r="173" spans="19:21" x14ac:dyDescent="0.25">
      <c r="S173" s="11">
        <v>155</v>
      </c>
      <c r="T173" s="4">
        <v>413.79304834702964</v>
      </c>
      <c r="U173" s="7">
        <v>0.50958756830115504</v>
      </c>
    </row>
    <row r="174" spans="19:21" x14ac:dyDescent="0.25">
      <c r="S174" s="11">
        <v>156</v>
      </c>
      <c r="T174" s="4">
        <v>346.68155124592062</v>
      </c>
      <c r="U174" s="7">
        <v>0.2647533882234161</v>
      </c>
    </row>
    <row r="175" spans="19:21" x14ac:dyDescent="0.25">
      <c r="S175" s="11">
        <v>157</v>
      </c>
      <c r="T175" s="4">
        <v>325.5731061575537</v>
      </c>
      <c r="U175" s="7">
        <v>0.18774618276441468</v>
      </c>
    </row>
    <row r="176" spans="19:21" x14ac:dyDescent="0.25">
      <c r="S176" s="11">
        <v>158</v>
      </c>
      <c r="T176" s="4">
        <v>374.83822858630089</v>
      </c>
      <c r="U176" s="7">
        <v>0.36747374625625073</v>
      </c>
    </row>
    <row r="177" spans="19:21" x14ac:dyDescent="0.25">
      <c r="S177" s="11">
        <v>159</v>
      </c>
      <c r="T177" s="4">
        <v>378.92730639970642</v>
      </c>
      <c r="U177" s="7">
        <v>0.38239139907229358</v>
      </c>
    </row>
    <row r="178" spans="19:21" x14ac:dyDescent="0.25">
      <c r="S178" s="11">
        <v>160</v>
      </c>
      <c r="T178" s="4">
        <v>350.64694486996535</v>
      </c>
      <c r="U178" s="7">
        <v>0.27921982003562551</v>
      </c>
    </row>
    <row r="179" spans="19:21" x14ac:dyDescent="0.25">
      <c r="S179" s="11">
        <v>161</v>
      </c>
      <c r="T179" s="4">
        <v>406.56598754849745</v>
      </c>
      <c r="U179" s="7">
        <v>0.48322201870963277</v>
      </c>
    </row>
    <row r="180" spans="19:21" x14ac:dyDescent="0.25">
      <c r="S180" s="11">
        <v>162</v>
      </c>
      <c r="T180" s="4">
        <v>426.14593353964193</v>
      </c>
      <c r="U180" s="7">
        <v>0.55465299894072428</v>
      </c>
    </row>
    <row r="181" spans="19:21" x14ac:dyDescent="0.25">
      <c r="S181" s="11">
        <v>163</v>
      </c>
      <c r="T181" s="4">
        <v>401.14918139035677</v>
      </c>
      <c r="U181" s="7">
        <v>0.46346058659062694</v>
      </c>
    </row>
    <row r="182" spans="19:21" x14ac:dyDescent="0.25">
      <c r="S182" s="11">
        <v>164</v>
      </c>
      <c r="T182" s="4">
        <v>259.03456705565185</v>
      </c>
      <c r="U182" s="7">
        <v>-5.4997748875809549E-2</v>
      </c>
    </row>
    <row r="183" spans="19:21" x14ac:dyDescent="0.25">
      <c r="S183" s="11">
        <v>165</v>
      </c>
      <c r="T183" s="4">
        <v>513.60532721759284</v>
      </c>
      <c r="U183" s="7">
        <v>0.87371977387761413</v>
      </c>
    </row>
    <row r="184" spans="19:21" x14ac:dyDescent="0.25">
      <c r="S184" s="11">
        <v>166</v>
      </c>
      <c r="T184" s="4">
        <v>266.11555506157532</v>
      </c>
      <c r="U184" s="7">
        <v>-2.9165097728739209E-2</v>
      </c>
    </row>
    <row r="185" spans="19:21" x14ac:dyDescent="0.25">
      <c r="S185" s="11">
        <v>167</v>
      </c>
      <c r="T185" s="4">
        <v>336.36752140618069</v>
      </c>
      <c r="U185" s="7">
        <v>0.2271260494187759</v>
      </c>
    </row>
    <row r="186" spans="19:21" x14ac:dyDescent="0.25">
      <c r="S186" s="11">
        <v>168</v>
      </c>
      <c r="T186" s="4">
        <v>333.54181609054422</v>
      </c>
      <c r="U186" s="7">
        <v>0.21681739480699069</v>
      </c>
    </row>
    <row r="187" spans="19:21" x14ac:dyDescent="0.25">
      <c r="S187" s="11">
        <v>169</v>
      </c>
      <c r="T187" s="4">
        <v>331.2527901584466</v>
      </c>
      <c r="U187" s="7">
        <v>0.20846663805934318</v>
      </c>
    </row>
    <row r="188" spans="19:21" x14ac:dyDescent="0.25">
      <c r="S188" s="11">
        <v>170</v>
      </c>
      <c r="T188" s="4">
        <v>331.28537099477268</v>
      </c>
      <c r="U188" s="7">
        <v>0.20858549850342079</v>
      </c>
    </row>
    <row r="189" spans="19:21" x14ac:dyDescent="0.25">
      <c r="S189" s="11">
        <v>171</v>
      </c>
      <c r="T189" s="4">
        <v>393.8478150797531</v>
      </c>
      <c r="U189" s="7">
        <v>0.43682395782624894</v>
      </c>
    </row>
    <row r="190" spans="19:21" x14ac:dyDescent="0.25">
      <c r="S190" s="11">
        <v>172</v>
      </c>
      <c r="T190" s="4">
        <v>218.09157131707281</v>
      </c>
      <c r="U190" s="7">
        <v>-0.20436477575764189</v>
      </c>
    </row>
    <row r="191" spans="19:21" x14ac:dyDescent="0.25">
      <c r="S191" s="11">
        <v>173</v>
      </c>
      <c r="T191" s="4">
        <v>340.20378547561188</v>
      </c>
      <c r="U191" s="7">
        <v>0.24112139460658799</v>
      </c>
    </row>
    <row r="192" spans="19:21" x14ac:dyDescent="0.25">
      <c r="S192" s="11">
        <v>174</v>
      </c>
      <c r="T192" s="4">
        <v>340.68884935646474</v>
      </c>
      <c r="U192" s="7">
        <v>0.24289099031945094</v>
      </c>
    </row>
    <row r="193" spans="19:21" x14ac:dyDescent="0.25">
      <c r="S193" s="11">
        <v>175</v>
      </c>
      <c r="T193" s="4">
        <v>445.18088396031442</v>
      </c>
      <c r="U193" s="7">
        <v>0.62409574244031374</v>
      </c>
    </row>
    <row r="194" spans="19:21" x14ac:dyDescent="0.25">
      <c r="S194" s="11">
        <v>176</v>
      </c>
      <c r="T194" s="4">
        <v>258.42601132903206</v>
      </c>
      <c r="U194" s="7">
        <v>-5.7217863890292042E-2</v>
      </c>
    </row>
    <row r="195" spans="19:21" x14ac:dyDescent="0.25">
      <c r="S195" s="11">
        <v>177</v>
      </c>
      <c r="T195" s="4">
        <v>341.85238121923919</v>
      </c>
      <c r="U195" s="7">
        <v>0.24713575287015854</v>
      </c>
    </row>
    <row r="196" spans="19:21" x14ac:dyDescent="0.25">
      <c r="S196" s="11">
        <v>178</v>
      </c>
      <c r="T196" s="4">
        <v>233.59662472543459</v>
      </c>
      <c r="U196" s="7">
        <v>-0.14779969820351468</v>
      </c>
    </row>
    <row r="197" spans="19:21" x14ac:dyDescent="0.25">
      <c r="S197" s="11">
        <v>179</v>
      </c>
      <c r="T197" s="4">
        <v>350.48308310139026</v>
      </c>
      <c r="U197" s="7">
        <v>0.27862202437485051</v>
      </c>
    </row>
    <row r="198" spans="19:21" x14ac:dyDescent="0.25">
      <c r="S198" s="11">
        <v>180</v>
      </c>
      <c r="T198" s="4">
        <v>386.14987009940518</v>
      </c>
      <c r="U198" s="7">
        <v>0.40874054248077463</v>
      </c>
    </row>
    <row r="199" spans="19:21" x14ac:dyDescent="0.25">
      <c r="S199" s="11">
        <v>181</v>
      </c>
      <c r="T199" s="4">
        <v>225.21585768103995</v>
      </c>
      <c r="U199" s="7">
        <v>-0.17837416482054669</v>
      </c>
    </row>
    <row r="200" spans="19:21" x14ac:dyDescent="0.25">
      <c r="S200" s="11">
        <v>182</v>
      </c>
      <c r="T200" s="4">
        <v>369.68264949740654</v>
      </c>
      <c r="U200" s="7">
        <v>0.34866531501005626</v>
      </c>
    </row>
    <row r="201" spans="19:21" x14ac:dyDescent="0.25">
      <c r="S201" s="11">
        <v>183</v>
      </c>
      <c r="T201" s="4">
        <v>336.95723388038363</v>
      </c>
      <c r="U201" s="7">
        <v>0.22927742103675031</v>
      </c>
    </row>
    <row r="202" spans="19:21" x14ac:dyDescent="0.25">
      <c r="S202" s="11">
        <v>184</v>
      </c>
      <c r="T202" s="4">
        <v>301.84932865682299</v>
      </c>
      <c r="U202" s="7">
        <v>0.10119779890125491</v>
      </c>
    </row>
    <row r="203" spans="19:21" x14ac:dyDescent="0.25">
      <c r="S203" s="11">
        <v>185</v>
      </c>
      <c r="T203" s="4">
        <v>344.95439541374805</v>
      </c>
      <c r="U203" s="7">
        <v>0.25845242936685286</v>
      </c>
    </row>
    <row r="204" spans="19:21" x14ac:dyDescent="0.25">
      <c r="S204" s="11">
        <v>186</v>
      </c>
      <c r="T204" s="4">
        <v>347.65767412875692</v>
      </c>
      <c r="U204" s="7">
        <v>0.26831445087284989</v>
      </c>
    </row>
    <row r="205" spans="19:21" x14ac:dyDescent="0.25">
      <c r="S205" s="11">
        <v>187</v>
      </c>
      <c r="T205" s="4">
        <v>275.91207237608927</v>
      </c>
      <c r="U205" s="7">
        <v>6.5742671777362371E-3</v>
      </c>
    </row>
    <row r="206" spans="19:21" x14ac:dyDescent="0.25">
      <c r="S206" s="11">
        <v>188</v>
      </c>
      <c r="T206" s="4">
        <v>422.84055693603733</v>
      </c>
      <c r="U206" s="7">
        <v>0.54259442171404659</v>
      </c>
    </row>
    <row r="207" spans="19:21" x14ac:dyDescent="0.25">
      <c r="S207" s="11">
        <v>189</v>
      </c>
      <c r="T207" s="4">
        <v>349.22513572705725</v>
      </c>
      <c r="U207" s="7">
        <v>0.27403281794555912</v>
      </c>
    </row>
    <row r="208" spans="19:21" x14ac:dyDescent="0.25">
      <c r="S208" s="11">
        <v>190</v>
      </c>
      <c r="T208" s="4">
        <v>251.68861097175039</v>
      </c>
      <c r="U208" s="7">
        <v>-8.1797048733171396E-2</v>
      </c>
    </row>
    <row r="209" spans="19:21" x14ac:dyDescent="0.25">
      <c r="S209" s="11">
        <v>191</v>
      </c>
      <c r="T209" s="4">
        <v>299.96528982139171</v>
      </c>
      <c r="U209" s="7">
        <v>9.4324504109268847E-2</v>
      </c>
    </row>
    <row r="210" spans="19:21" x14ac:dyDescent="0.25">
      <c r="S210" s="11">
        <v>192</v>
      </c>
      <c r="T210" s="4">
        <v>422.84636427392064</v>
      </c>
      <c r="U210" s="7">
        <v>0.54261560787246221</v>
      </c>
    </row>
    <row r="211" spans="19:21" x14ac:dyDescent="0.25">
      <c r="S211" s="11">
        <v>193</v>
      </c>
      <c r="T211" s="4">
        <v>331.45849525566473</v>
      </c>
      <c r="U211" s="7">
        <v>0.20921708531489069</v>
      </c>
    </row>
    <row r="212" spans="19:21" x14ac:dyDescent="0.25">
      <c r="S212" s="11">
        <v>194</v>
      </c>
      <c r="T212" s="4">
        <v>304.84100870660802</v>
      </c>
      <c r="U212" s="7">
        <v>0.11211195763236659</v>
      </c>
    </row>
    <row r="213" spans="19:21" x14ac:dyDescent="0.25">
      <c r="S213" s="11">
        <v>195</v>
      </c>
      <c r="T213" s="4">
        <v>454.29061564168876</v>
      </c>
      <c r="U213" s="7">
        <v>0.65732959629961973</v>
      </c>
    </row>
    <row r="214" spans="19:21" x14ac:dyDescent="0.25">
      <c r="S214" s="11">
        <v>196</v>
      </c>
      <c r="T214" s="4">
        <v>310.32024747267241</v>
      </c>
      <c r="U214" s="7">
        <v>0.13210115454624938</v>
      </c>
    </row>
    <row r="215" spans="19:21" x14ac:dyDescent="0.25">
      <c r="S215" s="11">
        <v>197</v>
      </c>
      <c r="T215" s="4">
        <v>367.1298381224446</v>
      </c>
      <c r="U215" s="7">
        <v>0.33935222400658338</v>
      </c>
    </row>
    <row r="216" spans="19:21" x14ac:dyDescent="0.25">
      <c r="S216" s="11">
        <v>198</v>
      </c>
      <c r="T216" s="4">
        <v>278.76405124510239</v>
      </c>
      <c r="U216" s="7">
        <v>1.697877219037025E-2</v>
      </c>
    </row>
    <row r="217" spans="19:21" x14ac:dyDescent="0.25">
      <c r="S217" s="11">
        <v>199</v>
      </c>
      <c r="T217" s="4">
        <v>328.33567285390171</v>
      </c>
      <c r="U217" s="7">
        <v>0.19782449693152993</v>
      </c>
    </row>
    <row r="218" spans="19:21" x14ac:dyDescent="0.25">
      <c r="S218" s="11">
        <v>200</v>
      </c>
      <c r="T218" s="4">
        <v>280.4265341612213</v>
      </c>
      <c r="U218" s="7">
        <v>2.3043793226154685E-2</v>
      </c>
    </row>
    <row r="219" spans="19:21" x14ac:dyDescent="0.25">
      <c r="S219" s="11">
        <v>201</v>
      </c>
      <c r="T219" s="4">
        <v>340.24265348630809</v>
      </c>
      <c r="U219" s="7">
        <v>0.24126319173436972</v>
      </c>
    </row>
    <row r="220" spans="19:21" x14ac:dyDescent="0.25">
      <c r="S220" s="11">
        <v>202</v>
      </c>
      <c r="T220" s="4">
        <v>301.7658341817019</v>
      </c>
      <c r="U220" s="7">
        <v>0.10089319682500419</v>
      </c>
    </row>
    <row r="221" spans="19:21" x14ac:dyDescent="0.25">
      <c r="S221" s="11">
        <v>203</v>
      </c>
      <c r="T221" s="4">
        <v>424.10253176950511</v>
      </c>
      <c r="U221" s="7">
        <v>0.54719832100071164</v>
      </c>
    </row>
    <row r="222" spans="19:21" x14ac:dyDescent="0.25">
      <c r="S222" s="11">
        <v>204</v>
      </c>
      <c r="T222" s="4">
        <v>328.13237606679888</v>
      </c>
      <c r="U222" s="7">
        <v>0.19708283560176154</v>
      </c>
    </row>
    <row r="223" spans="19:21" x14ac:dyDescent="0.25">
      <c r="S223" s="11">
        <v>205</v>
      </c>
      <c r="T223" s="4">
        <v>276.26604798609077</v>
      </c>
      <c r="U223" s="7">
        <v>7.8656305355175871E-3</v>
      </c>
    </row>
    <row r="224" spans="19:21" x14ac:dyDescent="0.25">
      <c r="S224" s="11">
        <v>206</v>
      </c>
      <c r="T224" s="4">
        <v>354.06789688137388</v>
      </c>
      <c r="U224" s="7">
        <v>0.29170003604893613</v>
      </c>
    </row>
    <row r="225" spans="19:21" x14ac:dyDescent="0.25">
      <c r="S225" s="11">
        <v>207</v>
      </c>
      <c r="T225" s="4">
        <v>366.66163228713151</v>
      </c>
      <c r="U225" s="7">
        <v>0.33764412931717747</v>
      </c>
    </row>
    <row r="226" spans="19:21" x14ac:dyDescent="0.25">
      <c r="S226" s="11">
        <v>208</v>
      </c>
      <c r="T226" s="4">
        <v>392.79227374915035</v>
      </c>
      <c r="U226" s="7">
        <v>0.43297316314308243</v>
      </c>
    </row>
    <row r="227" spans="19:21" x14ac:dyDescent="0.25">
      <c r="S227" s="11">
        <v>209</v>
      </c>
      <c r="T227" s="4">
        <v>274.48765126961626</v>
      </c>
      <c r="U227" s="7">
        <v>1.3777361993954074E-3</v>
      </c>
    </row>
    <row r="228" spans="19:21" x14ac:dyDescent="0.25">
      <c r="S228" s="11">
        <v>210</v>
      </c>
      <c r="T228" s="4">
        <v>350.13797530833557</v>
      </c>
      <c r="U228" s="7">
        <v>0.27736301232474392</v>
      </c>
    </row>
    <row r="229" spans="19:21" x14ac:dyDescent="0.25">
      <c r="S229" s="11">
        <v>211</v>
      </c>
      <c r="T229" s="4">
        <v>543.76524743799337</v>
      </c>
      <c r="U229" s="7">
        <v>0.98374830337453334</v>
      </c>
    </row>
    <row r="230" spans="19:21" x14ac:dyDescent="0.25">
      <c r="S230" s="11">
        <v>212</v>
      </c>
      <c r="T230" s="4">
        <v>518.60564339069037</v>
      </c>
      <c r="U230" s="7">
        <v>0.89196177954357858</v>
      </c>
    </row>
    <row r="231" spans="19:21" x14ac:dyDescent="0.25">
      <c r="S231" s="11">
        <v>213</v>
      </c>
      <c r="T231" s="4">
        <v>428.5777787569034</v>
      </c>
      <c r="U231" s="7">
        <v>0.56352478478312862</v>
      </c>
    </row>
    <row r="232" spans="19:21" x14ac:dyDescent="0.25">
      <c r="S232" s="11">
        <v>214</v>
      </c>
      <c r="T232" s="4">
        <v>323.13011715070093</v>
      </c>
      <c r="U232" s="7">
        <v>0.1788337424782056</v>
      </c>
    </row>
    <row r="233" spans="19:21" x14ac:dyDescent="0.25">
      <c r="S233" s="11">
        <v>215</v>
      </c>
      <c r="T233" s="4">
        <v>310.94595008446777</v>
      </c>
      <c r="U233" s="7">
        <v>0.13438382432041052</v>
      </c>
    </row>
    <row r="234" spans="19:21" x14ac:dyDescent="0.25">
      <c r="S234" s="11">
        <v>216</v>
      </c>
      <c r="T234" s="4">
        <v>319.20591230349328</v>
      </c>
      <c r="U234" s="7">
        <v>0.16451757434421688</v>
      </c>
    </row>
    <row r="235" spans="19:21" x14ac:dyDescent="0.25">
      <c r="S235" s="11">
        <v>217</v>
      </c>
      <c r="T235" s="4">
        <v>283.74900605813122</v>
      </c>
      <c r="U235" s="7">
        <v>3.5164736996575074E-2</v>
      </c>
    </row>
    <row r="236" spans="19:21" x14ac:dyDescent="0.25">
      <c r="S236" s="11">
        <v>218</v>
      </c>
      <c r="T236" s="4">
        <v>366.20192187637355</v>
      </c>
      <c r="U236" s="7">
        <v>0.3359670273845301</v>
      </c>
    </row>
    <row r="237" spans="19:21" x14ac:dyDescent="0.25">
      <c r="S237" s="11">
        <v>219</v>
      </c>
      <c r="T237" s="4">
        <v>301.68687848483324</v>
      </c>
      <c r="U237" s="7">
        <v>0.10060515298541906</v>
      </c>
    </row>
    <row r="238" spans="19:21" x14ac:dyDescent="0.25">
      <c r="S238" s="11">
        <v>220</v>
      </c>
      <c r="T238" s="4">
        <v>385.91185245485394</v>
      </c>
      <c r="U238" s="7">
        <v>0.40787221354512404</v>
      </c>
    </row>
    <row r="239" spans="19:21" x14ac:dyDescent="0.25">
      <c r="S239" s="11">
        <v>221</v>
      </c>
      <c r="T239" s="4">
        <v>349.11727658555475</v>
      </c>
      <c r="U239" s="7">
        <v>0.27363932941357394</v>
      </c>
    </row>
    <row r="240" spans="19:21" x14ac:dyDescent="0.25">
      <c r="S240" s="11">
        <v>222</v>
      </c>
      <c r="T240" s="4">
        <v>217.08767754540625</v>
      </c>
      <c r="U240" s="7">
        <v>-0.20802715134286875</v>
      </c>
    </row>
    <row r="241" spans="19:21" x14ac:dyDescent="0.25">
      <c r="S241" s="11">
        <v>223</v>
      </c>
      <c r="T241" s="4">
        <v>388.9284064624112</v>
      </c>
      <c r="U241" s="7">
        <v>0.41887711671376882</v>
      </c>
    </row>
    <row r="242" spans="19:21" x14ac:dyDescent="0.25">
      <c r="S242" s="11">
        <v>224</v>
      </c>
      <c r="T242" s="4">
        <v>298.41328172335704</v>
      </c>
      <c r="U242" s="7">
        <v>8.8662514039462348E-2</v>
      </c>
    </row>
    <row r="243" spans="19:21" x14ac:dyDescent="0.25">
      <c r="S243" s="11">
        <v>225</v>
      </c>
      <c r="T243" s="4">
        <v>334.5834823897286</v>
      </c>
      <c r="U243" s="7">
        <v>0.2206175710106475</v>
      </c>
    </row>
    <row r="244" spans="19:21" x14ac:dyDescent="0.25">
      <c r="S244" s="11">
        <v>226</v>
      </c>
      <c r="T244" s="4">
        <v>279.41358901471119</v>
      </c>
      <c r="U244" s="7">
        <v>1.934839668275945E-2</v>
      </c>
    </row>
    <row r="245" spans="19:21" x14ac:dyDescent="0.25">
      <c r="S245" s="11">
        <v>227</v>
      </c>
      <c r="T245" s="4">
        <v>415.12073434898156</v>
      </c>
      <c r="U245" s="7">
        <v>0.51443119313042773</v>
      </c>
    </row>
    <row r="246" spans="19:21" x14ac:dyDescent="0.25">
      <c r="S246" s="11">
        <v>228</v>
      </c>
      <c r="T246" s="4">
        <v>413.4648768522552</v>
      </c>
      <c r="U246" s="7">
        <v>0.50839034275384032</v>
      </c>
    </row>
    <row r="247" spans="19:21" x14ac:dyDescent="0.25">
      <c r="S247" s="11">
        <v>229</v>
      </c>
      <c r="T247" s="4">
        <v>212.4035676439608</v>
      </c>
      <c r="U247" s="7">
        <v>-0.22511558263485176</v>
      </c>
    </row>
    <row r="248" spans="19:21" x14ac:dyDescent="0.25">
      <c r="S248" s="11">
        <v>230</v>
      </c>
      <c r="T248" s="4">
        <v>304.89272514061241</v>
      </c>
      <c r="U248" s="7">
        <v>0.1123006279982941</v>
      </c>
    </row>
    <row r="249" spans="19:21" x14ac:dyDescent="0.25">
      <c r="S249" s="11">
        <v>231</v>
      </c>
      <c r="T249" s="4">
        <v>298.04122215774788</v>
      </c>
      <c r="U249" s="7">
        <v>8.7305177329348949E-2</v>
      </c>
    </row>
    <row r="250" spans="19:21" x14ac:dyDescent="0.25">
      <c r="S250" s="11">
        <v>232</v>
      </c>
      <c r="T250" s="4">
        <v>281.55538977550083</v>
      </c>
      <c r="U250" s="7">
        <v>2.7162050912045599E-2</v>
      </c>
    </row>
    <row r="251" spans="19:21" x14ac:dyDescent="0.25">
      <c r="S251" s="11">
        <v>233</v>
      </c>
      <c r="T251" s="4">
        <v>395.32154915198998</v>
      </c>
      <c r="U251" s="7">
        <v>0.44220039090872265</v>
      </c>
    </row>
    <row r="252" spans="19:21" x14ac:dyDescent="0.25">
      <c r="S252" s="11">
        <v>234</v>
      </c>
      <c r="T252" s="4">
        <v>316.53876924508154</v>
      </c>
      <c r="U252" s="7">
        <v>0.15478738187253849</v>
      </c>
    </row>
    <row r="253" spans="19:21" x14ac:dyDescent="0.25">
      <c r="S253" s="11">
        <v>235</v>
      </c>
      <c r="T253" s="4">
        <v>328.6716998448091</v>
      </c>
      <c r="U253" s="7">
        <v>0.19905038066764824</v>
      </c>
    </row>
    <row r="254" spans="19:21" x14ac:dyDescent="0.25">
      <c r="S254" s="11">
        <v>236</v>
      </c>
      <c r="T254" s="4">
        <v>310.69539529246214</v>
      </c>
      <c r="U254" s="7">
        <v>0.13346975773398317</v>
      </c>
    </row>
    <row r="255" spans="19:21" x14ac:dyDescent="0.25">
      <c r="S255" s="11">
        <v>237</v>
      </c>
      <c r="T255" s="4">
        <v>246.01998353664894</v>
      </c>
      <c r="U255" s="7">
        <v>-0.102477167791584</v>
      </c>
    </row>
    <row r="256" spans="19:21" x14ac:dyDescent="0.25">
      <c r="S256" s="11">
        <v>238</v>
      </c>
      <c r="T256" s="4">
        <v>423.78704355188756</v>
      </c>
      <c r="U256" s="7">
        <v>0.5460473662102352</v>
      </c>
    </row>
    <row r="257" spans="19:21" x14ac:dyDescent="0.25">
      <c r="S257" s="11">
        <v>239</v>
      </c>
      <c r="T257" s="4">
        <v>320.21703506554587</v>
      </c>
      <c r="U257" s="7">
        <v>0.16820632251849932</v>
      </c>
    </row>
    <row r="258" spans="19:21" x14ac:dyDescent="0.25">
      <c r="S258" s="11">
        <v>240</v>
      </c>
      <c r="T258" s="4">
        <v>335.88803102744782</v>
      </c>
      <c r="U258" s="7">
        <v>0.22537678679160855</v>
      </c>
    </row>
    <row r="259" spans="19:21" x14ac:dyDescent="0.25">
      <c r="S259" s="11">
        <v>241</v>
      </c>
      <c r="T259" s="4">
        <v>290.40837644142044</v>
      </c>
      <c r="U259" s="7">
        <v>5.9459255194704408E-2</v>
      </c>
    </row>
    <row r="260" spans="19:21" x14ac:dyDescent="0.25">
      <c r="S260" s="11">
        <v>242</v>
      </c>
      <c r="T260" s="4">
        <v>238.73098347237519</v>
      </c>
      <c r="U260" s="7">
        <v>-0.12906868238161628</v>
      </c>
    </row>
    <row r="261" spans="19:21" x14ac:dyDescent="0.25">
      <c r="S261" s="11">
        <v>243</v>
      </c>
      <c r="T261" s="4">
        <v>377.4871634254169</v>
      </c>
      <c r="U261" s="7">
        <v>0.3771375120404834</v>
      </c>
    </row>
    <row r="262" spans="19:21" x14ac:dyDescent="0.25">
      <c r="S262" s="11">
        <v>244</v>
      </c>
      <c r="T262" s="4">
        <v>383.3069449401508</v>
      </c>
      <c r="U262" s="7">
        <v>0.39836906694447771</v>
      </c>
    </row>
    <row r="263" spans="19:21" x14ac:dyDescent="0.25">
      <c r="S263" s="11">
        <v>245</v>
      </c>
      <c r="T263" s="4">
        <v>204.93709389672298</v>
      </c>
      <c r="U263" s="7">
        <v>-0.25235455146939922</v>
      </c>
    </row>
    <row r="264" spans="19:21" x14ac:dyDescent="0.25">
      <c r="S264" s="11">
        <v>246</v>
      </c>
      <c r="T264" s="4">
        <v>287.5409414477154</v>
      </c>
      <c r="U264" s="7">
        <v>4.8998363604813244E-2</v>
      </c>
    </row>
    <row r="265" spans="19:21" x14ac:dyDescent="0.25">
      <c r="S265" s="11">
        <v>247</v>
      </c>
      <c r="T265" s="4">
        <v>313.38079534605072</v>
      </c>
      <c r="U265" s="7">
        <v>0.14326655483583495</v>
      </c>
    </row>
    <row r="266" spans="19:21" x14ac:dyDescent="0.25">
      <c r="S266" s="11">
        <v>248</v>
      </c>
      <c r="T266" s="4">
        <v>295.81040910050433</v>
      </c>
      <c r="U266" s="7">
        <v>7.9166791071118681E-2</v>
      </c>
    </row>
    <row r="267" spans="19:21" x14ac:dyDescent="0.25">
      <c r="S267" s="11">
        <v>249</v>
      </c>
      <c r="T267" s="4">
        <v>380.9074667835867</v>
      </c>
      <c r="U267" s="7">
        <v>0.38961536165622079</v>
      </c>
    </row>
    <row r="268" spans="19:21" x14ac:dyDescent="0.25">
      <c r="S268" s="11">
        <v>250</v>
      </c>
      <c r="T268" s="4">
        <v>290.09430027985178</v>
      </c>
      <c r="U268" s="7">
        <v>5.8313451825368512E-2</v>
      </c>
    </row>
    <row r="269" spans="19:21" x14ac:dyDescent="0.25">
      <c r="S269" s="11">
        <v>251</v>
      </c>
      <c r="T269" s="4">
        <v>283.45182814842724</v>
      </c>
      <c r="U269" s="7">
        <v>3.4080581330222293E-2</v>
      </c>
    </row>
    <row r="270" spans="19:21" x14ac:dyDescent="0.25">
      <c r="S270" s="11">
        <v>252</v>
      </c>
      <c r="T270" s="4">
        <v>338.97882930976004</v>
      </c>
      <c r="U270" s="7">
        <v>0.23665254572894101</v>
      </c>
    </row>
    <row r="271" spans="19:21" x14ac:dyDescent="0.25">
      <c r="S271" s="11">
        <v>253</v>
      </c>
      <c r="T271" s="4">
        <v>280.57548763763481</v>
      </c>
      <c r="U271" s="7">
        <v>2.3587200896117544E-2</v>
      </c>
    </row>
    <row r="272" spans="19:21" x14ac:dyDescent="0.25">
      <c r="S272" s="11">
        <v>254</v>
      </c>
      <c r="T272" s="4">
        <v>351.11285079320146</v>
      </c>
      <c r="U272" s="7">
        <v>0.28091952425377209</v>
      </c>
    </row>
    <row r="273" spans="19:21" x14ac:dyDescent="0.25">
      <c r="S273" s="11">
        <v>255</v>
      </c>
      <c r="T273" s="4">
        <v>381.53193180261064</v>
      </c>
      <c r="U273" s="7">
        <v>0.39189351648101356</v>
      </c>
    </row>
    <row r="274" spans="19:21" x14ac:dyDescent="0.25">
      <c r="S274" s="11">
        <v>256</v>
      </c>
      <c r="T274" s="4">
        <v>295.98289467702563</v>
      </c>
      <c r="U274" s="7">
        <v>7.9796047853145202E-2</v>
      </c>
    </row>
    <row r="275" spans="19:21" x14ac:dyDescent="0.25">
      <c r="S275" s="11">
        <v>257</v>
      </c>
      <c r="T275" s="4">
        <v>391.08408680974634</v>
      </c>
      <c r="U275" s="7">
        <v>0.42674140604044486</v>
      </c>
    </row>
    <row r="276" spans="19:21" x14ac:dyDescent="0.25">
      <c r="S276" s="11">
        <v>258</v>
      </c>
      <c r="T276" s="4">
        <v>345.25007140349283</v>
      </c>
      <c r="U276" s="7">
        <v>0.25953110577320349</v>
      </c>
    </row>
    <row r="277" spans="19:21" x14ac:dyDescent="0.25">
      <c r="S277" s="11">
        <v>259</v>
      </c>
      <c r="T277" s="4">
        <v>329.7137246506349</v>
      </c>
      <c r="U277" s="7">
        <v>0.20285186476463779</v>
      </c>
    </row>
    <row r="278" spans="19:21" x14ac:dyDescent="0.25">
      <c r="S278" s="11">
        <v>260</v>
      </c>
      <c r="T278" s="4">
        <v>227.33462450464734</v>
      </c>
      <c r="U278" s="7">
        <v>-0.17064454232006376</v>
      </c>
    </row>
    <row r="279" spans="19:21" x14ac:dyDescent="0.25">
      <c r="S279" s="11">
        <v>261</v>
      </c>
      <c r="T279" s="4">
        <v>324.59737047239577</v>
      </c>
      <c r="U279" s="7">
        <v>0.18418653267810647</v>
      </c>
    </row>
    <row r="280" spans="19:21" x14ac:dyDescent="0.25">
      <c r="S280" s="11">
        <v>262</v>
      </c>
      <c r="T280" s="4">
        <v>453.95617288261644</v>
      </c>
      <c r="U280" s="7">
        <v>0.65610949211125624</v>
      </c>
    </row>
    <row r="281" spans="19:21" x14ac:dyDescent="0.25">
      <c r="S281" s="11">
        <v>263</v>
      </c>
      <c r="T281" s="4">
        <v>246.04789382998831</v>
      </c>
      <c r="U281" s="7">
        <v>-0.10237534628438105</v>
      </c>
    </row>
    <row r="282" spans="19:21" x14ac:dyDescent="0.25">
      <c r="S282" s="11">
        <v>264</v>
      </c>
      <c r="T282" s="4">
        <v>456.2720179854727</v>
      </c>
      <c r="U282" s="7">
        <v>0.66455808976495812</v>
      </c>
    </row>
    <row r="283" spans="19:21" x14ac:dyDescent="0.25">
      <c r="S283" s="11">
        <v>265</v>
      </c>
      <c r="T283" s="4">
        <v>284.86574304088106</v>
      </c>
      <c r="U283" s="7">
        <v>3.9238783849115499E-2</v>
      </c>
    </row>
    <row r="284" spans="19:21" x14ac:dyDescent="0.25">
      <c r="S284" s="11">
        <v>266</v>
      </c>
      <c r="T284" s="4">
        <v>232.64237186930256</v>
      </c>
      <c r="U284" s="7">
        <v>-0.15128097526794881</v>
      </c>
    </row>
    <row r="285" spans="19:21" x14ac:dyDescent="0.25">
      <c r="S285" s="11">
        <v>267</v>
      </c>
      <c r="T285" s="4">
        <v>381.18892373661822</v>
      </c>
      <c r="U285" s="7">
        <v>0.39064216459311307</v>
      </c>
    </row>
    <row r="286" spans="19:21" x14ac:dyDescent="0.25">
      <c r="S286" s="11">
        <v>268</v>
      </c>
      <c r="T286" s="4">
        <v>364.55217777152961</v>
      </c>
      <c r="U286" s="7">
        <v>0.32994847970351171</v>
      </c>
    </row>
    <row r="287" spans="19:21" x14ac:dyDescent="0.25">
      <c r="S287" s="11">
        <v>269</v>
      </c>
      <c r="T287" s="4">
        <v>346.28860164667196</v>
      </c>
      <c r="U287" s="7">
        <v>0.26331984111003592</v>
      </c>
    </row>
    <row r="288" spans="19:21" x14ac:dyDescent="0.25">
      <c r="S288" s="11">
        <v>270</v>
      </c>
      <c r="T288" s="4">
        <v>264.90118260821748</v>
      </c>
      <c r="U288" s="7">
        <v>-3.3595335419293493E-2</v>
      </c>
    </row>
    <row r="289" spans="19:21" x14ac:dyDescent="0.25">
      <c r="S289" s="11">
        <v>271</v>
      </c>
      <c r="T289" s="4">
        <v>338.26474128416788</v>
      </c>
      <c r="U289" s="7">
        <v>0.23404743090061597</v>
      </c>
    </row>
    <row r="290" spans="19:21" x14ac:dyDescent="0.25">
      <c r="S290" s="11">
        <v>272</v>
      </c>
      <c r="T290" s="4">
        <v>233.20667648218765</v>
      </c>
      <c r="U290" s="7">
        <v>-0.149222295858642</v>
      </c>
    </row>
    <row r="291" spans="19:21" x14ac:dyDescent="0.25">
      <c r="S291" s="11">
        <v>273</v>
      </c>
      <c r="T291" s="4">
        <v>332.70578752447778</v>
      </c>
      <c r="U291" s="7">
        <v>0.21376742010316208</v>
      </c>
    </row>
    <row r="292" spans="19:21" x14ac:dyDescent="0.25">
      <c r="S292" s="11">
        <v>274</v>
      </c>
      <c r="T292" s="4">
        <v>352.6450910131029</v>
      </c>
      <c r="U292" s="7">
        <v>0.28650939773486139</v>
      </c>
    </row>
    <row r="293" spans="19:21" x14ac:dyDescent="0.25">
      <c r="S293" s="11">
        <v>275</v>
      </c>
      <c r="T293" s="4">
        <v>361.8618207972869</v>
      </c>
      <c r="U293" s="7">
        <v>0.32013359891024362</v>
      </c>
    </row>
    <row r="294" spans="19:21" x14ac:dyDescent="0.25">
      <c r="S294" s="11">
        <v>276</v>
      </c>
      <c r="T294" s="4">
        <v>278.39385125104138</v>
      </c>
      <c r="U294" s="7">
        <v>1.5628219514214559E-2</v>
      </c>
    </row>
    <row r="295" spans="19:21" x14ac:dyDescent="0.25">
      <c r="S295" s="11">
        <v>277</v>
      </c>
      <c r="T295" s="4">
        <v>369.91359218237147</v>
      </c>
      <c r="U295" s="7">
        <v>0.34950783328726232</v>
      </c>
    </row>
    <row r="296" spans="19:21" x14ac:dyDescent="0.25">
      <c r="S296" s="11">
        <v>278</v>
      </c>
      <c r="T296" s="4">
        <v>280.71636255338558</v>
      </c>
      <c r="U296" s="7">
        <v>2.4101136599852468E-2</v>
      </c>
    </row>
    <row r="297" spans="19:21" x14ac:dyDescent="0.25">
      <c r="S297" s="11">
        <v>279</v>
      </c>
      <c r="T297" s="4">
        <v>320.97460216915704</v>
      </c>
      <c r="U297" s="7">
        <v>0.17097005643412144</v>
      </c>
    </row>
    <row r="298" spans="19:21" x14ac:dyDescent="0.25">
      <c r="S298" s="11">
        <v>280</v>
      </c>
      <c r="T298" s="4">
        <v>293.02807774603463</v>
      </c>
      <c r="U298" s="7">
        <v>6.9016372062437048E-2</v>
      </c>
    </row>
    <row r="299" spans="19:21" x14ac:dyDescent="0.25">
      <c r="S299" s="11">
        <v>281</v>
      </c>
      <c r="T299" s="4">
        <v>313.69149699402124</v>
      </c>
      <c r="U299" s="7">
        <v>0.14440004740440404</v>
      </c>
    </row>
    <row r="300" spans="19:21" x14ac:dyDescent="0.25">
      <c r="S300" s="11">
        <v>282</v>
      </c>
      <c r="T300" s="4">
        <v>349.59483331231667</v>
      </c>
      <c r="U300" s="7">
        <v>0.27538153774877472</v>
      </c>
    </row>
    <row r="301" spans="19:21" x14ac:dyDescent="0.25">
      <c r="S301" s="11">
        <v>283</v>
      </c>
      <c r="T301" s="4">
        <v>223.84912947616468</v>
      </c>
      <c r="U301" s="7">
        <v>-0.18336022226053528</v>
      </c>
    </row>
    <row r="302" spans="19:21" x14ac:dyDescent="0.25">
      <c r="S302" s="11">
        <v>284</v>
      </c>
      <c r="T302" s="4">
        <v>389.5191981897882</v>
      </c>
      <c r="U302" s="7">
        <v>0.42103242563127274</v>
      </c>
    </row>
    <row r="303" spans="19:21" x14ac:dyDescent="0.25">
      <c r="S303" s="11">
        <v>285</v>
      </c>
      <c r="T303" s="4">
        <v>316.51267095271965</v>
      </c>
      <c r="U303" s="7">
        <v>0.15469217085374343</v>
      </c>
    </row>
    <row r="304" spans="19:21" x14ac:dyDescent="0.25">
      <c r="S304" s="11">
        <v>286</v>
      </c>
      <c r="T304" s="4">
        <v>265.48218676655836</v>
      </c>
      <c r="U304" s="7">
        <v>-3.1475733221851265E-2</v>
      </c>
    </row>
    <row r="305" spans="19:21" x14ac:dyDescent="0.25">
      <c r="S305" s="11">
        <v>287</v>
      </c>
      <c r="T305" s="4">
        <v>303.63358205640691</v>
      </c>
      <c r="U305" s="7">
        <v>0.10770705941558822</v>
      </c>
    </row>
    <row r="306" spans="19:21" x14ac:dyDescent="0.25">
      <c r="S306" s="11">
        <v>288</v>
      </c>
      <c r="T306" s="4">
        <v>402.44738740531653</v>
      </c>
      <c r="U306" s="7">
        <v>0.46819666340270882</v>
      </c>
    </row>
    <row r="307" spans="19:21" x14ac:dyDescent="0.25">
      <c r="S307" s="11">
        <v>289</v>
      </c>
      <c r="T307" s="4">
        <v>238.17874531752827</v>
      </c>
      <c r="U307" s="7">
        <v>-0.13108334129536225</v>
      </c>
    </row>
    <row r="308" spans="19:21" x14ac:dyDescent="0.25">
      <c r="S308" s="11">
        <v>290</v>
      </c>
      <c r="T308" s="4">
        <v>274.24518590585473</v>
      </c>
      <c r="U308" s="7">
        <v>4.9318122598496217E-4</v>
      </c>
    </row>
    <row r="309" spans="19:21" x14ac:dyDescent="0.25">
      <c r="S309" s="11">
        <v>291</v>
      </c>
      <c r="T309" s="4">
        <v>392.05773649976805</v>
      </c>
      <c r="U309" s="7">
        <v>0.43029344606095377</v>
      </c>
    </row>
    <row r="310" spans="19:21" x14ac:dyDescent="0.25">
      <c r="S310" s="11">
        <v>292</v>
      </c>
      <c r="T310" s="4">
        <v>416.48460281580577</v>
      </c>
      <c r="U310" s="7">
        <v>0.5194068177585851</v>
      </c>
    </row>
    <row r="311" spans="19:21" x14ac:dyDescent="0.25">
      <c r="S311" s="11">
        <v>293</v>
      </c>
      <c r="T311" s="4">
        <v>247.5389336868011</v>
      </c>
      <c r="U311" s="7">
        <v>-9.6935778750132817E-2</v>
      </c>
    </row>
    <row r="312" spans="19:21" x14ac:dyDescent="0.25">
      <c r="S312" s="11">
        <v>294</v>
      </c>
      <c r="T312" s="4">
        <v>293.8255859746094</v>
      </c>
      <c r="U312" s="7">
        <v>7.1925818009592524E-2</v>
      </c>
    </row>
    <row r="313" spans="19:21" x14ac:dyDescent="0.25">
      <c r="S313" s="11">
        <v>295</v>
      </c>
      <c r="T313" s="4">
        <v>331.98531123519354</v>
      </c>
      <c r="U313" s="7">
        <v>0.21113899980005657</v>
      </c>
    </row>
    <row r="314" spans="19:21" x14ac:dyDescent="0.25">
      <c r="S314" s="11">
        <v>296</v>
      </c>
      <c r="T314" s="4">
        <v>384.01522302830978</v>
      </c>
      <c r="U314" s="7">
        <v>0.40095298613078612</v>
      </c>
    </row>
    <row r="315" spans="19:21" x14ac:dyDescent="0.25">
      <c r="S315" s="11">
        <v>297</v>
      </c>
      <c r="T315" s="4">
        <v>262.70599363226739</v>
      </c>
      <c r="U315" s="7">
        <v>-4.1603758957107106E-2</v>
      </c>
    </row>
    <row r="316" spans="19:21" x14ac:dyDescent="0.25">
      <c r="S316" s="11">
        <v>298</v>
      </c>
      <c r="T316" s="4">
        <v>373.05667766973255</v>
      </c>
      <c r="U316" s="7">
        <v>0.36097434486057622</v>
      </c>
    </row>
    <row r="317" spans="19:21" x14ac:dyDescent="0.25">
      <c r="S317" s="11">
        <v>299</v>
      </c>
      <c r="T317" s="4">
        <v>344.3774315782702</v>
      </c>
      <c r="U317" s="7">
        <v>0.25634756695585792</v>
      </c>
    </row>
    <row r="318" spans="19:21" x14ac:dyDescent="0.25">
      <c r="S318" s="11">
        <v>300</v>
      </c>
      <c r="T318" s="4">
        <v>408.35693790912433</v>
      </c>
      <c r="U318" s="7">
        <v>0.48975571087929781</v>
      </c>
    </row>
    <row r="319" spans="19:21" x14ac:dyDescent="0.25">
      <c r="S319" s="11">
        <v>301</v>
      </c>
      <c r="T319" s="4">
        <v>252.27429463778691</v>
      </c>
      <c r="U319" s="7">
        <v>-7.9660374894068409E-2</v>
      </c>
    </row>
    <row r="320" spans="19:21" x14ac:dyDescent="0.25">
      <c r="S320" s="11">
        <v>302</v>
      </c>
      <c r="T320" s="4">
        <v>400.95985906334226</v>
      </c>
      <c r="U320" s="7">
        <v>0.46276990647310301</v>
      </c>
    </row>
    <row r="321" spans="19:21" x14ac:dyDescent="0.25">
      <c r="S321" s="11">
        <v>303</v>
      </c>
      <c r="T321" s="4">
        <v>351.06610535779953</v>
      </c>
      <c r="U321" s="7">
        <v>0.2807489889380157</v>
      </c>
    </row>
    <row r="322" spans="19:21" x14ac:dyDescent="0.25">
      <c r="S322" s="11">
        <v>304</v>
      </c>
      <c r="T322" s="4">
        <v>261.23654517552399</v>
      </c>
      <c r="U322" s="7">
        <v>-4.6964557383809558E-2</v>
      </c>
    </row>
    <row r="323" spans="19:21" x14ac:dyDescent="0.25">
      <c r="S323" s="11">
        <v>305</v>
      </c>
      <c r="T323" s="4">
        <v>340.30259350801759</v>
      </c>
      <c r="U323" s="7">
        <v>0.2414818631498945</v>
      </c>
    </row>
    <row r="324" spans="19:21" x14ac:dyDescent="0.25">
      <c r="S324" s="11">
        <v>306</v>
      </c>
      <c r="T324" s="4">
        <v>325.2539321457399</v>
      </c>
      <c r="U324" s="7">
        <v>0.18658178156849403</v>
      </c>
    </row>
    <row r="325" spans="19:21" x14ac:dyDescent="0.25">
      <c r="S325" s="11">
        <v>307</v>
      </c>
      <c r="T325" s="4">
        <v>298.42158303020432</v>
      </c>
      <c r="U325" s="7">
        <v>8.8692798621736957E-2</v>
      </c>
    </row>
    <row r="326" spans="19:21" x14ac:dyDescent="0.25">
      <c r="S326" s="11">
        <v>308</v>
      </c>
      <c r="T326" s="4">
        <v>311.0710507698065</v>
      </c>
      <c r="U326" s="7">
        <v>0.13484021294300286</v>
      </c>
    </row>
    <row r="327" spans="19:21" x14ac:dyDescent="0.25">
      <c r="S327" s="11">
        <v>309</v>
      </c>
      <c r="T327" s="4">
        <v>385.03124986223474</v>
      </c>
      <c r="U327" s="7">
        <v>0.40465962519512133</v>
      </c>
    </row>
    <row r="328" spans="19:21" x14ac:dyDescent="0.25">
      <c r="S328" s="11">
        <v>310</v>
      </c>
      <c r="T328" s="4">
        <v>242.87738217590953</v>
      </c>
      <c r="U328" s="7">
        <v>-0.11394191318846625</v>
      </c>
    </row>
    <row r="329" spans="19:21" x14ac:dyDescent="0.25">
      <c r="S329" s="11">
        <v>311</v>
      </c>
      <c r="T329" s="4">
        <v>248.84388381731554</v>
      </c>
      <c r="U329" s="7">
        <v>-9.2175098255023458E-2</v>
      </c>
    </row>
    <row r="330" spans="19:21" x14ac:dyDescent="0.25">
      <c r="S330" s="11">
        <v>312</v>
      </c>
      <c r="T330" s="4">
        <v>310.56728535416994</v>
      </c>
      <c r="U330" s="7">
        <v>0.13300239084371213</v>
      </c>
    </row>
    <row r="331" spans="19:21" x14ac:dyDescent="0.25">
      <c r="S331" s="11">
        <v>313</v>
      </c>
      <c r="T331" s="4">
        <v>384.43142856393592</v>
      </c>
      <c r="U331" s="7">
        <v>0.40247137486387174</v>
      </c>
    </row>
    <row r="332" spans="19:21" x14ac:dyDescent="0.25">
      <c r="S332" s="11">
        <v>314</v>
      </c>
      <c r="T332" s="4">
        <v>388.30060582723019</v>
      </c>
      <c r="U332" s="7">
        <v>0.41658679299270429</v>
      </c>
    </row>
    <row r="333" spans="19:21" x14ac:dyDescent="0.25">
      <c r="S333" s="11">
        <v>315</v>
      </c>
      <c r="T333" s="4">
        <v>263.64263980428268</v>
      </c>
      <c r="U333" s="7">
        <v>-3.8186714077258488E-2</v>
      </c>
    </row>
    <row r="334" spans="19:21" x14ac:dyDescent="0.25">
      <c r="S334" s="11">
        <v>316</v>
      </c>
      <c r="T334" s="4">
        <v>295.85951966598003</v>
      </c>
      <c r="U334" s="7">
        <v>7.934595478450257E-2</v>
      </c>
    </row>
    <row r="335" spans="19:21" x14ac:dyDescent="0.25">
      <c r="S335" s="11">
        <v>317</v>
      </c>
      <c r="T335" s="4">
        <v>255.18071404368624</v>
      </c>
      <c r="U335" s="7">
        <v>-6.9057261523891023E-2</v>
      </c>
    </row>
    <row r="336" spans="19:21" x14ac:dyDescent="0.25">
      <c r="S336" s="11">
        <v>318</v>
      </c>
      <c r="T336" s="4">
        <v>380.31197937580856</v>
      </c>
      <c r="U336" s="7">
        <v>0.38744292209626985</v>
      </c>
    </row>
    <row r="337" spans="19:21" x14ac:dyDescent="0.25">
      <c r="S337" s="11">
        <v>319</v>
      </c>
      <c r="T337" s="4">
        <v>347.49374946699811</v>
      </c>
      <c r="U337" s="7">
        <v>0.26771642576702082</v>
      </c>
    </row>
    <row r="338" spans="19:21" x14ac:dyDescent="0.25">
      <c r="S338" s="11">
        <v>320</v>
      </c>
      <c r="T338" s="4">
        <v>347.18357630374328</v>
      </c>
      <c r="U338" s="7">
        <v>0.26658486120077063</v>
      </c>
    </row>
    <row r="339" spans="19:21" x14ac:dyDescent="0.25">
      <c r="S339" s="11">
        <v>321</v>
      </c>
      <c r="T339" s="4">
        <v>328.4088237376813</v>
      </c>
      <c r="U339" s="7">
        <v>0.19809136382357928</v>
      </c>
    </row>
    <row r="340" spans="19:21" x14ac:dyDescent="0.25">
      <c r="S340" s="11">
        <v>322</v>
      </c>
      <c r="T340" s="4">
        <v>396.08077704181358</v>
      </c>
      <c r="U340" s="7">
        <v>0.44497018365551622</v>
      </c>
    </row>
    <row r="341" spans="19:21" x14ac:dyDescent="0.25">
      <c r="S341" s="11">
        <v>323</v>
      </c>
      <c r="T341" s="4">
        <v>268.88716950387379</v>
      </c>
      <c r="U341" s="7">
        <v>-1.9053775842275855E-2</v>
      </c>
    </row>
    <row r="342" spans="19:21" x14ac:dyDescent="0.25">
      <c r="S342" s="11">
        <v>324</v>
      </c>
      <c r="T342" s="4">
        <v>352.61227135779114</v>
      </c>
      <c r="U342" s="7">
        <v>0.28638966603841931</v>
      </c>
    </row>
    <row r="343" spans="19:21" x14ac:dyDescent="0.25">
      <c r="S343" s="11">
        <v>325</v>
      </c>
      <c r="T343" s="4">
        <v>366.28428676586697</v>
      </c>
      <c r="U343" s="7">
        <v>0.33626750853988163</v>
      </c>
    </row>
    <row r="344" spans="19:21" x14ac:dyDescent="0.25">
      <c r="S344" s="11">
        <v>326</v>
      </c>
      <c r="T344" s="4">
        <v>372.61573630605227</v>
      </c>
      <c r="U344" s="7">
        <v>0.35936571561071196</v>
      </c>
    </row>
    <row r="345" spans="19:21" x14ac:dyDescent="0.25">
      <c r="S345" s="11">
        <v>327</v>
      </c>
      <c r="T345" s="4">
        <v>328.00441606117465</v>
      </c>
      <c r="U345" s="7">
        <v>0.19661601569141807</v>
      </c>
    </row>
    <row r="346" spans="19:21" x14ac:dyDescent="0.25">
      <c r="S346" s="11">
        <v>328</v>
      </c>
      <c r="T346" s="4">
        <v>307.10505144791148</v>
      </c>
      <c r="U346" s="7">
        <v>0.12037157144179877</v>
      </c>
    </row>
    <row r="347" spans="19:21" x14ac:dyDescent="0.25">
      <c r="S347" s="11">
        <v>329</v>
      </c>
      <c r="T347" s="4">
        <v>409.55749490039886</v>
      </c>
      <c r="U347" s="7">
        <v>0.49413554740943</v>
      </c>
    </row>
    <row r="348" spans="19:21" x14ac:dyDescent="0.25">
      <c r="S348" s="11">
        <v>330</v>
      </c>
      <c r="T348" s="4">
        <v>262.78348548772021</v>
      </c>
      <c r="U348" s="7">
        <v>-4.1321055460507794E-2</v>
      </c>
    </row>
    <row r="349" spans="19:21" x14ac:dyDescent="0.25">
      <c r="S349" s="11">
        <v>331</v>
      </c>
      <c r="T349" s="4">
        <v>293.7280539345623</v>
      </c>
      <c r="U349" s="7">
        <v>7.1570004503893614E-2</v>
      </c>
    </row>
    <row r="350" spans="19:21" x14ac:dyDescent="0.25">
      <c r="S350" s="11">
        <v>332</v>
      </c>
      <c r="T350" s="4">
        <v>272.04797355199065</v>
      </c>
      <c r="U350" s="7">
        <v>-7.5226239393285654E-3</v>
      </c>
    </row>
    <row r="351" spans="19:21" x14ac:dyDescent="0.25">
      <c r="S351" s="11">
        <v>333</v>
      </c>
      <c r="T351" s="4">
        <v>247.94298452129033</v>
      </c>
      <c r="U351" s="7">
        <v>-9.5461732438472446E-2</v>
      </c>
    </row>
    <row r="352" spans="19:21" x14ac:dyDescent="0.25">
      <c r="S352" s="11">
        <v>334</v>
      </c>
      <c r="T352" s="4">
        <v>280.86050240590401</v>
      </c>
      <c r="U352" s="7">
        <v>2.4626983349399945E-2</v>
      </c>
    </row>
    <row r="353" spans="19:21" x14ac:dyDescent="0.25">
      <c r="S353" s="11">
        <v>335</v>
      </c>
      <c r="T353" s="4">
        <v>496.15799397141831</v>
      </c>
      <c r="U353" s="7">
        <v>0.81006892842806999</v>
      </c>
    </row>
    <row r="354" spans="19:21" x14ac:dyDescent="0.25">
      <c r="S354" s="11">
        <v>336</v>
      </c>
      <c r="T354" s="4">
        <v>298.20247765024737</v>
      </c>
      <c r="U354" s="7">
        <v>8.789346485078009E-2</v>
      </c>
    </row>
    <row r="355" spans="19:21" x14ac:dyDescent="0.25">
      <c r="S355" s="11">
        <v>337</v>
      </c>
      <c r="T355" s="4">
        <v>298.97373373673844</v>
      </c>
      <c r="U355" s="7">
        <v>9.0707138509132923E-2</v>
      </c>
    </row>
    <row r="356" spans="19:21" x14ac:dyDescent="0.25">
      <c r="S356" s="11">
        <v>338</v>
      </c>
      <c r="T356" s="4">
        <v>268.73055881593524</v>
      </c>
      <c r="U356" s="7">
        <v>-1.9625118324996471E-2</v>
      </c>
    </row>
    <row r="357" spans="19:21" x14ac:dyDescent="0.25">
      <c r="S357" s="11">
        <v>339</v>
      </c>
      <c r="T357" s="4">
        <v>293.61899216581378</v>
      </c>
      <c r="U357" s="7">
        <v>7.1172128582736027E-2</v>
      </c>
    </row>
    <row r="358" spans="19:21" x14ac:dyDescent="0.25">
      <c r="S358" s="11">
        <v>340</v>
      </c>
      <c r="T358" s="4">
        <v>244.15723090555659</v>
      </c>
      <c r="U358" s="7">
        <v>-0.10927280688206709</v>
      </c>
    </row>
    <row r="359" spans="19:21" x14ac:dyDescent="0.25">
      <c r="S359" s="11">
        <v>341</v>
      </c>
      <c r="T359" s="4">
        <v>394.93711193666178</v>
      </c>
      <c r="U359" s="7">
        <v>0.44079789842275652</v>
      </c>
    </row>
    <row r="360" spans="19:21" x14ac:dyDescent="0.25">
      <c r="S360" s="11">
        <v>342</v>
      </c>
      <c r="T360" s="4">
        <v>384.46340595940103</v>
      </c>
      <c r="U360" s="7">
        <v>0.40258803385283648</v>
      </c>
    </row>
    <row r="361" spans="19:21" x14ac:dyDescent="0.25">
      <c r="S361" s="11">
        <v>343</v>
      </c>
      <c r="T361" s="4">
        <v>258.62322719743162</v>
      </c>
      <c r="U361" s="7">
        <v>-5.6498386788400246E-2</v>
      </c>
    </row>
    <row r="362" spans="19:21" x14ac:dyDescent="0.25">
      <c r="S362" s="11">
        <v>344</v>
      </c>
      <c r="T362" s="4">
        <v>432.97198324173564</v>
      </c>
      <c r="U362" s="7">
        <v>0.5795555917030959</v>
      </c>
    </row>
    <row r="363" spans="19:21" x14ac:dyDescent="0.25">
      <c r="S363" s="11">
        <v>345</v>
      </c>
      <c r="T363" s="4">
        <v>409.68355574339074</v>
      </c>
      <c r="U363" s="7">
        <v>0.49459543885079249</v>
      </c>
    </row>
    <row r="364" spans="19:21" x14ac:dyDescent="0.25">
      <c r="S364" s="11">
        <v>346</v>
      </c>
      <c r="T364" s="4">
        <v>395.93452664607702</v>
      </c>
      <c r="U364" s="7">
        <v>0.44443663728458271</v>
      </c>
    </row>
    <row r="365" spans="19:21" x14ac:dyDescent="0.25">
      <c r="S365" s="11">
        <v>347</v>
      </c>
      <c r="T365" s="4">
        <v>282.16019785774841</v>
      </c>
      <c r="U365" s="7">
        <v>2.9368493881100299E-2</v>
      </c>
    </row>
    <row r="366" spans="19:21" x14ac:dyDescent="0.25">
      <c r="S366" s="11">
        <v>348</v>
      </c>
      <c r="T366" s="4">
        <v>304.92673628623044</v>
      </c>
      <c r="U366" s="7">
        <v>0.11242470645445413</v>
      </c>
    </row>
    <row r="367" spans="19:21" x14ac:dyDescent="0.25">
      <c r="S367" s="11">
        <v>349</v>
      </c>
      <c r="T367" s="4">
        <v>405.2450180211938</v>
      </c>
      <c r="U367" s="7">
        <v>0.47840289672464986</v>
      </c>
    </row>
    <row r="368" spans="19:21" x14ac:dyDescent="0.25">
      <c r="S368" s="11">
        <v>350</v>
      </c>
      <c r="T368" s="4">
        <v>353.87270441779117</v>
      </c>
      <c r="U368" s="7">
        <v>0.29098794067269029</v>
      </c>
    </row>
    <row r="369" spans="19:21" x14ac:dyDescent="0.25">
      <c r="S369" s="11">
        <v>351</v>
      </c>
      <c r="T369" s="4">
        <v>388.24147836254548</v>
      </c>
      <c r="U369" s="7">
        <v>0.4163710859237002</v>
      </c>
    </row>
    <row r="370" spans="19:21" x14ac:dyDescent="0.25">
      <c r="S370" s="11">
        <v>352</v>
      </c>
      <c r="T370" s="4">
        <v>348.33646560865282</v>
      </c>
      <c r="U370" s="7">
        <v>0.27079079788644256</v>
      </c>
    </row>
    <row r="371" spans="19:21" x14ac:dyDescent="0.25">
      <c r="S371" s="11">
        <v>353</v>
      </c>
      <c r="T371" s="4">
        <v>326.84657571458422</v>
      </c>
      <c r="U371" s="7">
        <v>0.19239201676182627</v>
      </c>
    </row>
    <row r="372" spans="19:21" x14ac:dyDescent="0.25">
      <c r="S372" s="11">
        <v>354</v>
      </c>
      <c r="T372" s="4">
        <v>342.08842799734288</v>
      </c>
      <c r="U372" s="7">
        <v>0.24799689174908934</v>
      </c>
    </row>
    <row r="373" spans="19:21" x14ac:dyDescent="0.25">
      <c r="S373" s="11">
        <v>355</v>
      </c>
      <c r="T373" s="4">
        <v>295.5757059658672</v>
      </c>
      <c r="U373" s="7">
        <v>7.8310554032567925E-2</v>
      </c>
    </row>
    <row r="374" spans="19:21" x14ac:dyDescent="0.25">
      <c r="S374" s="11">
        <v>356</v>
      </c>
      <c r="T374" s="4">
        <v>302.08739906345875</v>
      </c>
      <c r="U374" s="7">
        <v>0.10206632032198293</v>
      </c>
    </row>
    <row r="375" spans="19:21" x14ac:dyDescent="0.25">
      <c r="S375" s="11">
        <v>357</v>
      </c>
      <c r="T375" s="4">
        <v>291.97970458640566</v>
      </c>
      <c r="U375" s="7">
        <v>6.5191728088744183E-2</v>
      </c>
    </row>
    <row r="376" spans="19:21" x14ac:dyDescent="0.25">
      <c r="S376" s="11">
        <v>358</v>
      </c>
      <c r="T376" s="4">
        <v>396.38606430223848</v>
      </c>
      <c r="U376" s="7">
        <v>0.44608392361547722</v>
      </c>
    </row>
    <row r="377" spans="19:21" x14ac:dyDescent="0.25">
      <c r="S377" s="11">
        <v>359</v>
      </c>
      <c r="T377" s="4">
        <v>285.36275526862477</v>
      </c>
      <c r="U377" s="7">
        <v>4.1051969167942515E-2</v>
      </c>
    </row>
    <row r="378" spans="19:21" x14ac:dyDescent="0.25">
      <c r="S378" s="11">
        <v>360</v>
      </c>
      <c r="T378" s="4">
        <v>303.62732514262757</v>
      </c>
      <c r="U378" s="7">
        <v>0.10768423312767705</v>
      </c>
    </row>
    <row r="379" spans="19:21" x14ac:dyDescent="0.25">
      <c r="S379" s="11">
        <v>361</v>
      </c>
      <c r="T379" s="4">
        <v>307.61453959947312</v>
      </c>
      <c r="U379" s="7">
        <v>0.12223027105714168</v>
      </c>
    </row>
    <row r="380" spans="19:21" x14ac:dyDescent="0.25">
      <c r="S380" s="11">
        <v>362</v>
      </c>
      <c r="T380" s="4">
        <v>459.45476252319628</v>
      </c>
      <c r="U380" s="7">
        <v>0.67616928431358314</v>
      </c>
    </row>
    <row r="381" spans="19:21" x14ac:dyDescent="0.25">
      <c r="S381" s="11">
        <v>363</v>
      </c>
      <c r="T381" s="4">
        <v>337.98683227612247</v>
      </c>
      <c r="U381" s="7">
        <v>0.23303357147175396</v>
      </c>
    </row>
    <row r="382" spans="19:21" x14ac:dyDescent="0.25">
      <c r="S382" s="11">
        <v>364</v>
      </c>
      <c r="T382" s="4">
        <v>389.3453792599874</v>
      </c>
      <c r="U382" s="7">
        <v>0.42039830454922256</v>
      </c>
    </row>
    <row r="383" spans="19:21" x14ac:dyDescent="0.25">
      <c r="S383" s="11">
        <v>365</v>
      </c>
      <c r="T383" s="4">
        <v>353.25069774095772</v>
      </c>
      <c r="U383" s="7">
        <v>0.28871875429921445</v>
      </c>
    </row>
    <row r="384" spans="19:21" x14ac:dyDescent="0.25">
      <c r="S384" s="11">
        <v>366</v>
      </c>
      <c r="T384" s="4">
        <v>284.39258265897178</v>
      </c>
      <c r="U384" s="7">
        <v>3.7512614129261213E-2</v>
      </c>
    </row>
    <row r="385" spans="19:21" x14ac:dyDescent="0.25">
      <c r="S385" s="11">
        <v>367</v>
      </c>
      <c r="T385" s="4">
        <v>291.77124781295049</v>
      </c>
      <c r="U385" s="7">
        <v>6.4431242249281206E-2</v>
      </c>
    </row>
    <row r="386" spans="19:21" x14ac:dyDescent="0.25">
      <c r="S386" s="11">
        <v>368</v>
      </c>
      <c r="T386" s="4">
        <v>360.99880841778395</v>
      </c>
      <c r="U386" s="7">
        <v>0.31698518265580944</v>
      </c>
    </row>
    <row r="387" spans="19:21" x14ac:dyDescent="0.25">
      <c r="S387" s="11">
        <v>369</v>
      </c>
      <c r="T387" s="4">
        <v>383.98238729265756</v>
      </c>
      <c r="U387" s="7">
        <v>0.40083319577052112</v>
      </c>
    </row>
    <row r="388" spans="19:21" x14ac:dyDescent="0.25">
      <c r="S388" s="11">
        <v>370</v>
      </c>
      <c r="T388" s="4">
        <v>462.39456251879159</v>
      </c>
      <c r="U388" s="7">
        <v>0.68689417576444334</v>
      </c>
    </row>
    <row r="389" spans="19:21" x14ac:dyDescent="0.25">
      <c r="S389" s="11">
        <v>371</v>
      </c>
      <c r="T389" s="4">
        <v>297.25415613506425</v>
      </c>
      <c r="U389" s="7">
        <v>8.4433826329080475E-2</v>
      </c>
    </row>
    <row r="390" spans="19:21" x14ac:dyDescent="0.25">
      <c r="S390" s="11">
        <v>372</v>
      </c>
      <c r="T390" s="4">
        <v>305.23741208514781</v>
      </c>
      <c r="U390" s="7">
        <v>0.1135581047212717</v>
      </c>
    </row>
    <row r="391" spans="19:21" x14ac:dyDescent="0.25">
      <c r="S391" s="11">
        <v>373</v>
      </c>
      <c r="T391" s="4">
        <v>228.32869372760382</v>
      </c>
      <c r="U391" s="7">
        <v>-0.16701800836305203</v>
      </c>
    </row>
    <row r="392" spans="19:21" x14ac:dyDescent="0.25">
      <c r="S392" s="11">
        <v>374</v>
      </c>
      <c r="T392" s="4">
        <v>268.30400941206688</v>
      </c>
      <c r="U392" s="7">
        <v>-2.1181243252464843E-2</v>
      </c>
    </row>
    <row r="393" spans="19:21" x14ac:dyDescent="0.25">
      <c r="S393" s="11">
        <v>375</v>
      </c>
      <c r="T393" s="4">
        <v>325.31802060728597</v>
      </c>
      <c r="U393" s="7">
        <v>0.18681558719961311</v>
      </c>
    </row>
    <row r="394" spans="19:21" x14ac:dyDescent="0.25">
      <c r="S394" s="11">
        <v>376</v>
      </c>
      <c r="T394" s="4">
        <v>303.59505680670628</v>
      </c>
      <c r="U394" s="7">
        <v>0.10756651273833961</v>
      </c>
    </row>
    <row r="395" spans="19:21" x14ac:dyDescent="0.25">
      <c r="S395" s="11">
        <v>377</v>
      </c>
      <c r="T395" s="4">
        <v>283.25136267416258</v>
      </c>
      <c r="U395" s="7">
        <v>3.3349249112263557E-2</v>
      </c>
    </row>
    <row r="396" spans="19:21" x14ac:dyDescent="0.25">
      <c r="S396" s="11">
        <v>378</v>
      </c>
      <c r="T396" s="4">
        <v>337.95334913191908</v>
      </c>
      <c r="U396" s="7">
        <v>0.23291141925474834</v>
      </c>
    </row>
    <row r="397" spans="19:21" x14ac:dyDescent="0.25">
      <c r="S397" s="11">
        <v>379</v>
      </c>
      <c r="T397" s="4">
        <v>358.99107074107411</v>
      </c>
      <c r="U397" s="7">
        <v>0.30966061340729678</v>
      </c>
    </row>
    <row r="398" spans="19:21" x14ac:dyDescent="0.25">
      <c r="S398" s="11">
        <v>380</v>
      </c>
      <c r="T398" s="4">
        <v>408.08273283881971</v>
      </c>
      <c r="U398" s="7">
        <v>0.48875536404662245</v>
      </c>
    </row>
    <row r="399" spans="19:21" x14ac:dyDescent="0.25">
      <c r="S399" s="11">
        <v>381</v>
      </c>
      <c r="T399" s="4">
        <v>292.32610978094363</v>
      </c>
      <c r="U399" s="7">
        <v>6.645547328059398E-2</v>
      </c>
    </row>
    <row r="400" spans="19:21" x14ac:dyDescent="0.25">
      <c r="S400" s="11">
        <v>382</v>
      </c>
      <c r="T400" s="4">
        <v>350.80737278794874</v>
      </c>
      <c r="U400" s="7">
        <v>0.27980508842416807</v>
      </c>
    </row>
    <row r="401" spans="19:21" x14ac:dyDescent="0.25">
      <c r="S401" s="11">
        <v>383</v>
      </c>
      <c r="T401" s="4">
        <v>316.66688949719281</v>
      </c>
      <c r="U401" s="7">
        <v>0.1552547863893794</v>
      </c>
    </row>
    <row r="402" spans="19:21" x14ac:dyDescent="0.25">
      <c r="S402" s="11">
        <v>384</v>
      </c>
      <c r="T402" s="4">
        <v>337.05386553203243</v>
      </c>
      <c r="U402" s="7">
        <v>0.22962994977210771</v>
      </c>
    </row>
    <row r="403" spans="19:21" x14ac:dyDescent="0.25">
      <c r="S403" s="11">
        <v>385</v>
      </c>
      <c r="T403" s="4">
        <v>387.50286312717532</v>
      </c>
      <c r="U403" s="7">
        <v>0.41367649165362552</v>
      </c>
    </row>
    <row r="404" spans="19:21" x14ac:dyDescent="0.25">
      <c r="S404" s="11">
        <v>386</v>
      </c>
      <c r="T404" s="4">
        <v>316.49537974220124</v>
      </c>
      <c r="U404" s="7">
        <v>0.15462908957061483</v>
      </c>
    </row>
    <row r="405" spans="19:21" x14ac:dyDescent="0.25">
      <c r="S405" s="11">
        <v>387</v>
      </c>
      <c r="T405" s="4">
        <v>265.50611338106683</v>
      </c>
      <c r="U405" s="7">
        <v>-3.1388444854011821E-2</v>
      </c>
    </row>
    <row r="406" spans="19:21" x14ac:dyDescent="0.25">
      <c r="S406" s="11">
        <v>388</v>
      </c>
      <c r="T406" s="4">
        <v>287.14896891947103</v>
      </c>
      <c r="U406" s="7">
        <v>4.7568381012991212E-2</v>
      </c>
    </row>
    <row r="407" spans="19:21" x14ac:dyDescent="0.25">
      <c r="S407" s="11">
        <v>389</v>
      </c>
      <c r="T407" s="4">
        <v>365.77976480920086</v>
      </c>
      <c r="U407" s="7">
        <v>0.33442692644996841</v>
      </c>
    </row>
    <row r="408" spans="19:21" x14ac:dyDescent="0.25">
      <c r="S408" s="11">
        <v>390</v>
      </c>
      <c r="T408" s="4">
        <v>237.22239950507014</v>
      </c>
      <c r="U408" s="7">
        <v>-0.13457225382120264</v>
      </c>
    </row>
    <row r="409" spans="19:21" x14ac:dyDescent="0.25">
      <c r="S409" s="11">
        <v>391</v>
      </c>
      <c r="T409" s="4">
        <v>255.66475719520719</v>
      </c>
      <c r="U409" s="7">
        <v>-6.7291389605606655E-2</v>
      </c>
    </row>
    <row r="410" spans="19:21" x14ac:dyDescent="0.25">
      <c r="S410" s="11">
        <v>392</v>
      </c>
      <c r="T410" s="4">
        <v>316.64623712025355</v>
      </c>
      <c r="U410" s="7">
        <v>0.15517944299826181</v>
      </c>
    </row>
    <row r="411" spans="19:21" x14ac:dyDescent="0.25">
      <c r="S411" s="11">
        <v>393</v>
      </c>
      <c r="T411" s="4">
        <v>387.85469456919191</v>
      </c>
      <c r="U411" s="7">
        <v>0.41496003272114068</v>
      </c>
    </row>
    <row r="412" spans="19:21" x14ac:dyDescent="0.25">
      <c r="S412" s="11">
        <v>394</v>
      </c>
      <c r="T412" s="4">
        <v>292.4084226878108</v>
      </c>
      <c r="U412" s="7">
        <v>6.6755764794464989E-2</v>
      </c>
    </row>
    <row r="413" spans="19:21" x14ac:dyDescent="0.25">
      <c r="S413" s="11">
        <v>395</v>
      </c>
      <c r="T413" s="4">
        <v>278.37675022520284</v>
      </c>
      <c r="U413" s="7">
        <v>1.5565832057213624E-2</v>
      </c>
    </row>
    <row r="414" spans="19:21" x14ac:dyDescent="0.25">
      <c r="S414" s="11">
        <v>396</v>
      </c>
      <c r="T414" s="4">
        <v>254.61418557551255</v>
      </c>
      <c r="U414" s="7">
        <v>-7.1124053936330145E-2</v>
      </c>
    </row>
    <row r="415" spans="19:21" x14ac:dyDescent="0.25">
      <c r="S415" s="11">
        <v>397</v>
      </c>
      <c r="T415" s="4">
        <v>336.47584822069837</v>
      </c>
      <c r="U415" s="7">
        <v>0.2275212441016321</v>
      </c>
    </row>
    <row r="416" spans="19:21" x14ac:dyDescent="0.25">
      <c r="S416" s="11">
        <v>398</v>
      </c>
      <c r="T416" s="4">
        <v>359.64696293050713</v>
      </c>
      <c r="U416" s="7">
        <v>0.31205341990626789</v>
      </c>
    </row>
    <row r="417" spans="19:21" x14ac:dyDescent="0.25">
      <c r="S417" s="11">
        <v>399</v>
      </c>
      <c r="T417" s="4">
        <v>270.70714592580748</v>
      </c>
      <c r="U417" s="7">
        <v>-1.24141916536884E-2</v>
      </c>
    </row>
    <row r="418" spans="19:21" x14ac:dyDescent="0.25">
      <c r="S418" s="11">
        <v>400</v>
      </c>
      <c r="T418" s="4">
        <v>272.01097427955085</v>
      </c>
      <c r="U418" s="7">
        <v>-7.6576035914383001E-3</v>
      </c>
    </row>
    <row r="419" spans="19:21" x14ac:dyDescent="0.25">
      <c r="S419" s="11">
        <v>401</v>
      </c>
      <c r="T419" s="4">
        <v>388.54649747293939</v>
      </c>
      <c r="U419" s="7">
        <v>0.41748384762664403</v>
      </c>
    </row>
    <row r="420" spans="19:21" x14ac:dyDescent="0.25">
      <c r="S420" s="11">
        <v>402</v>
      </c>
      <c r="T420" s="4">
        <v>301.37495358360957</v>
      </c>
      <c r="U420" s="7">
        <v>9.9467197780487959E-2</v>
      </c>
    </row>
    <row r="421" spans="19:21" x14ac:dyDescent="0.25">
      <c r="S421" s="11">
        <v>403</v>
      </c>
      <c r="T421" s="4">
        <v>328.4232231318752</v>
      </c>
      <c r="U421" s="7">
        <v>0.19814389526786758</v>
      </c>
    </row>
    <row r="422" spans="19:21" x14ac:dyDescent="0.25">
      <c r="S422" s="11">
        <v>404</v>
      </c>
      <c r="T422" s="4">
        <v>397.66930560298675</v>
      </c>
      <c r="U422" s="7">
        <v>0.45076540659949194</v>
      </c>
    </row>
    <row r="423" spans="19:21" x14ac:dyDescent="0.25">
      <c r="S423" s="11">
        <v>405</v>
      </c>
      <c r="T423" s="4">
        <v>311.56324794880499</v>
      </c>
      <c r="U423" s="7">
        <v>0.13663583214331831</v>
      </c>
    </row>
    <row r="424" spans="19:21" x14ac:dyDescent="0.25">
      <c r="S424" s="11">
        <v>406</v>
      </c>
      <c r="T424" s="4">
        <v>318.87411696027317</v>
      </c>
      <c r="U424" s="7">
        <v>0.16330712838011441</v>
      </c>
    </row>
    <row r="425" spans="19:21" x14ac:dyDescent="0.25">
      <c r="S425" s="11">
        <v>407</v>
      </c>
      <c r="T425" s="4">
        <v>464.36432439061434</v>
      </c>
      <c r="U425" s="7">
        <v>0.69408020280403604</v>
      </c>
    </row>
    <row r="426" spans="19:21" x14ac:dyDescent="0.25">
      <c r="S426" s="11">
        <v>408</v>
      </c>
      <c r="T426" s="4">
        <v>277.1515527731371</v>
      </c>
      <c r="U426" s="7">
        <v>1.1096102926332785E-2</v>
      </c>
    </row>
    <row r="427" spans="19:21" x14ac:dyDescent="0.25">
      <c r="S427" s="11">
        <v>409</v>
      </c>
      <c r="T427" s="4">
        <v>399.85829229379203</v>
      </c>
      <c r="U427" s="7">
        <v>0.45875120314396423</v>
      </c>
    </row>
    <row r="428" spans="19:21" x14ac:dyDescent="0.25">
      <c r="S428" s="11">
        <v>410</v>
      </c>
      <c r="T428" s="4">
        <v>400.97628731351472</v>
      </c>
      <c r="U428" s="7">
        <v>0.4628298395298045</v>
      </c>
    </row>
    <row r="429" spans="19:21" x14ac:dyDescent="0.25">
      <c r="S429" s="11">
        <v>411</v>
      </c>
      <c r="T429" s="4">
        <v>348.80796937875613</v>
      </c>
      <c r="U429" s="7">
        <v>0.27251092400407173</v>
      </c>
    </row>
    <row r="430" spans="19:21" x14ac:dyDescent="0.25">
      <c r="S430" s="11">
        <v>412</v>
      </c>
      <c r="T430" s="4">
        <v>361.38123149160867</v>
      </c>
      <c r="U430" s="7">
        <v>0.31838032721027565</v>
      </c>
    </row>
    <row r="431" spans="19:21" x14ac:dyDescent="0.25">
      <c r="S431" s="11">
        <v>413</v>
      </c>
      <c r="T431" s="4">
        <v>371.78015230494236</v>
      </c>
      <c r="U431" s="7">
        <v>0.35631736275561754</v>
      </c>
    </row>
    <row r="432" spans="19:21" x14ac:dyDescent="0.25">
      <c r="S432" s="11">
        <v>414</v>
      </c>
      <c r="T432" s="4">
        <v>364.72831501410002</v>
      </c>
      <c r="U432" s="7">
        <v>0.33059105838568459</v>
      </c>
    </row>
    <row r="433" spans="19:21" x14ac:dyDescent="0.25">
      <c r="S433" s="11">
        <v>415</v>
      </c>
      <c r="T433" s="4">
        <v>196.74786342532883</v>
      </c>
      <c r="U433" s="7">
        <v>-0.28223026002214868</v>
      </c>
    </row>
    <row r="434" spans="19:21" x14ac:dyDescent="0.25">
      <c r="S434" s="11">
        <v>416</v>
      </c>
      <c r="T434" s="4">
        <v>339.48712969909724</v>
      </c>
      <c r="U434" s="7">
        <v>0.23850691218524389</v>
      </c>
    </row>
    <row r="435" spans="19:21" x14ac:dyDescent="0.25">
      <c r="S435" s="11">
        <v>417</v>
      </c>
      <c r="T435" s="4">
        <v>354.50278971058151</v>
      </c>
      <c r="U435" s="7">
        <v>0.29328659921411648</v>
      </c>
    </row>
    <row r="436" spans="19:21" x14ac:dyDescent="0.25">
      <c r="S436" s="11">
        <v>418</v>
      </c>
      <c r="T436" s="4">
        <v>446.65036120236675</v>
      </c>
      <c r="U436" s="7">
        <v>0.62945664588072936</v>
      </c>
    </row>
    <row r="437" spans="19:21" x14ac:dyDescent="0.25">
      <c r="S437" s="11">
        <v>419</v>
      </c>
      <c r="T437" s="4">
        <v>406.73240848968976</v>
      </c>
      <c r="U437" s="7">
        <v>0.48382915066830745</v>
      </c>
    </row>
    <row r="438" spans="19:21" x14ac:dyDescent="0.25">
      <c r="S438" s="11">
        <v>420</v>
      </c>
      <c r="T438" s="4">
        <v>267.34275560023343</v>
      </c>
      <c r="U438" s="7">
        <v>-2.4688060996558292E-2</v>
      </c>
    </row>
    <row r="439" spans="19:21" x14ac:dyDescent="0.25">
      <c r="S439" s="11">
        <v>421</v>
      </c>
      <c r="T439" s="4">
        <v>234.69949511886466</v>
      </c>
      <c r="U439" s="7">
        <v>-0.14377623903226933</v>
      </c>
    </row>
    <row r="440" spans="19:21" x14ac:dyDescent="0.25">
      <c r="S440" s="11">
        <v>422</v>
      </c>
      <c r="T440" s="4">
        <v>275.3979460589656</v>
      </c>
      <c r="U440" s="7">
        <v>4.6986467438823176E-3</v>
      </c>
    </row>
    <row r="441" spans="19:21" x14ac:dyDescent="0.25">
      <c r="S441" s="11">
        <v>423</v>
      </c>
      <c r="T441" s="4">
        <v>297.98217135559997</v>
      </c>
      <c r="U441" s="7">
        <v>8.708974993834584E-2</v>
      </c>
    </row>
    <row r="442" spans="19:21" x14ac:dyDescent="0.25">
      <c r="S442" s="11">
        <v>424</v>
      </c>
      <c r="T442" s="4">
        <v>357.15948313547102</v>
      </c>
      <c r="U442" s="7">
        <v>0.30297866964164388</v>
      </c>
    </row>
    <row r="443" spans="19:21" x14ac:dyDescent="0.25">
      <c r="S443" s="11">
        <v>425</v>
      </c>
      <c r="T443" s="4">
        <v>303.08512474704281</v>
      </c>
      <c r="U443" s="7">
        <v>0.10570619367058032</v>
      </c>
    </row>
    <row r="444" spans="19:21" x14ac:dyDescent="0.25">
      <c r="S444" s="11">
        <v>426</v>
      </c>
      <c r="T444" s="4">
        <v>267.81237653221285</v>
      </c>
      <c r="U444" s="7">
        <v>-2.2974803793320842E-2</v>
      </c>
    </row>
    <row r="445" spans="19:21" x14ac:dyDescent="0.25">
      <c r="S445" s="11">
        <v>427</v>
      </c>
      <c r="T445" s="4">
        <v>269.4718781281469</v>
      </c>
      <c r="U445" s="7">
        <v>-1.6920659121714365E-2</v>
      </c>
    </row>
    <row r="446" spans="19:21" x14ac:dyDescent="0.25">
      <c r="S446" s="11">
        <v>428</v>
      </c>
      <c r="T446" s="4">
        <v>317.8511173616306</v>
      </c>
      <c r="U446" s="7">
        <v>0.15957505148163365</v>
      </c>
    </row>
    <row r="447" spans="19:21" x14ac:dyDescent="0.25">
      <c r="S447" s="11">
        <v>429</v>
      </c>
      <c r="T447" s="4">
        <v>327.09817186157721</v>
      </c>
      <c r="U447" s="7">
        <v>0.19330988238873892</v>
      </c>
    </row>
    <row r="448" spans="19:21" x14ac:dyDescent="0.25">
      <c r="S448" s="11">
        <v>430</v>
      </c>
      <c r="T448" s="4">
        <v>388.69725078365877</v>
      </c>
      <c r="U448" s="7">
        <v>0.41803382139892298</v>
      </c>
    </row>
    <row r="449" spans="19:21" x14ac:dyDescent="0.25">
      <c r="S449" s="11">
        <v>431</v>
      </c>
      <c r="T449" s="4">
        <v>297.7168273610277</v>
      </c>
      <c r="U449" s="7">
        <v>8.6121729820246129E-2</v>
      </c>
    </row>
    <row r="450" spans="19:21" x14ac:dyDescent="0.25">
      <c r="S450" s="11">
        <v>432</v>
      </c>
      <c r="T450" s="4">
        <v>425.63489700673875</v>
      </c>
      <c r="U450" s="7">
        <v>0.5527886505663373</v>
      </c>
    </row>
    <row r="451" spans="19:21" x14ac:dyDescent="0.25">
      <c r="S451" s="11">
        <v>433</v>
      </c>
      <c r="T451" s="4">
        <v>332.34872841289416</v>
      </c>
      <c r="U451" s="7">
        <v>0.21246480760604913</v>
      </c>
    </row>
    <row r="452" spans="19:21" x14ac:dyDescent="0.25">
      <c r="S452" s="11">
        <v>434</v>
      </c>
      <c r="T452" s="4">
        <v>343.07784668339769</v>
      </c>
      <c r="U452" s="7">
        <v>0.25160645975483442</v>
      </c>
    </row>
    <row r="453" spans="19:21" x14ac:dyDescent="0.25">
      <c r="S453" s="11">
        <v>435</v>
      </c>
      <c r="T453" s="4">
        <v>221.17607111665876</v>
      </c>
      <c r="U453" s="7">
        <v>-0.19311199475882401</v>
      </c>
    </row>
    <row r="454" spans="19:21" x14ac:dyDescent="0.25">
      <c r="S454" s="11">
        <v>436</v>
      </c>
      <c r="T454" s="4">
        <v>272.25007583147419</v>
      </c>
      <c r="U454" s="7">
        <v>-6.7853203769502324E-3</v>
      </c>
    </row>
    <row r="455" spans="19:21" x14ac:dyDescent="0.25">
      <c r="S455" s="11">
        <v>437</v>
      </c>
      <c r="T455" s="4">
        <v>408.72392419214401</v>
      </c>
      <c r="U455" s="7">
        <v>0.49109453938982162</v>
      </c>
    </row>
    <row r="456" spans="19:21" x14ac:dyDescent="0.25">
      <c r="S456" s="11">
        <v>438</v>
      </c>
      <c r="T456" s="4">
        <v>300.67908732005139</v>
      </c>
      <c r="U456" s="7">
        <v>9.6928559045825979E-2</v>
      </c>
    </row>
    <row r="457" spans="19:21" x14ac:dyDescent="0.25">
      <c r="S457" s="11">
        <v>439</v>
      </c>
      <c r="T457" s="4">
        <v>323.73024190599358</v>
      </c>
      <c r="U457" s="7">
        <v>0.18102309987229059</v>
      </c>
    </row>
    <row r="458" spans="19:21" x14ac:dyDescent="0.25">
      <c r="S458" s="11">
        <v>440</v>
      </c>
      <c r="T458" s="4">
        <v>423.16241161056047</v>
      </c>
      <c r="U458" s="7">
        <v>0.5437686024244297</v>
      </c>
    </row>
    <row r="459" spans="19:21" x14ac:dyDescent="0.25">
      <c r="S459" s="11">
        <v>441</v>
      </c>
      <c r="T459" s="4">
        <v>386.54971157816169</v>
      </c>
      <c r="U459" s="7">
        <v>0.410199232345269</v>
      </c>
    </row>
    <row r="460" spans="19:21" x14ac:dyDescent="0.25">
      <c r="S460" s="11">
        <v>442</v>
      </c>
      <c r="T460" s="4">
        <v>319.55433084037554</v>
      </c>
      <c r="U460" s="7">
        <v>0.16578866455209784</v>
      </c>
    </row>
    <row r="461" spans="19:21" x14ac:dyDescent="0.25">
      <c r="S461" s="11">
        <v>443</v>
      </c>
      <c r="T461" s="4">
        <v>346.06781290631682</v>
      </c>
      <c r="U461" s="7">
        <v>0.26251436615343038</v>
      </c>
    </row>
    <row r="462" spans="19:21" x14ac:dyDescent="0.25">
      <c r="S462" s="11">
        <v>444</v>
      </c>
      <c r="T462" s="4">
        <v>287.42525600123747</v>
      </c>
      <c r="U462" s="7">
        <v>4.8576323378342501E-2</v>
      </c>
    </row>
    <row r="463" spans="19:21" x14ac:dyDescent="0.25">
      <c r="S463" s="11">
        <v>445</v>
      </c>
      <c r="T463" s="4">
        <v>547.30159357277421</v>
      </c>
      <c r="U463" s="7">
        <v>0.99664949681797155</v>
      </c>
    </row>
    <row r="464" spans="19:21" x14ac:dyDescent="0.25">
      <c r="S464" s="11">
        <v>446</v>
      </c>
      <c r="T464" s="4">
        <v>433.00672209974317</v>
      </c>
      <c r="U464" s="7">
        <v>0.57968232497808603</v>
      </c>
    </row>
    <row r="465" spans="19:21" x14ac:dyDescent="0.25">
      <c r="S465" s="11">
        <v>447</v>
      </c>
      <c r="T465" s="4">
        <v>344.33304257796397</v>
      </c>
      <c r="U465" s="7">
        <v>0.25618562831696745</v>
      </c>
    </row>
    <row r="466" spans="19:21" x14ac:dyDescent="0.25">
      <c r="S466" s="11">
        <v>448</v>
      </c>
      <c r="T466" s="4">
        <v>362.81463603797317</v>
      </c>
      <c r="U466" s="7">
        <v>0.32360963130850084</v>
      </c>
    </row>
    <row r="467" spans="19:21" x14ac:dyDescent="0.25">
      <c r="S467" s="11">
        <v>449</v>
      </c>
      <c r="T467" s="4">
        <v>396.29575046585126</v>
      </c>
      <c r="U467" s="7">
        <v>0.44575444334701841</v>
      </c>
    </row>
    <row r="468" spans="19:21" x14ac:dyDescent="0.25">
      <c r="S468" s="11">
        <v>450</v>
      </c>
      <c r="T468" s="4">
        <v>402.93562820039244</v>
      </c>
      <c r="U468" s="7">
        <v>0.46997784904013873</v>
      </c>
    </row>
    <row r="469" spans="19:21" x14ac:dyDescent="0.25">
      <c r="S469" s="11">
        <v>451</v>
      </c>
      <c r="T469" s="4">
        <v>293.04440008048181</v>
      </c>
      <c r="U469" s="7">
        <v>6.9075918720520102E-2</v>
      </c>
    </row>
    <row r="470" spans="19:21" x14ac:dyDescent="0.25">
      <c r="S470" s="11">
        <v>452</v>
      </c>
      <c r="T470" s="4">
        <v>393.0286161399307</v>
      </c>
      <c r="U470" s="7">
        <v>0.43383538046744263</v>
      </c>
    </row>
    <row r="471" spans="19:21" x14ac:dyDescent="0.25">
      <c r="S471" s="11">
        <v>453</v>
      </c>
      <c r="T471" s="4">
        <v>343.73348142441506</v>
      </c>
      <c r="U471" s="7">
        <v>0.25399832703810521</v>
      </c>
    </row>
    <row r="472" spans="19:21" x14ac:dyDescent="0.25">
      <c r="S472" s="11">
        <v>454</v>
      </c>
      <c r="T472" s="4">
        <v>218.3036273554803</v>
      </c>
      <c r="U472" s="7">
        <v>-0.2035911591861651</v>
      </c>
    </row>
    <row r="473" spans="19:21" x14ac:dyDescent="0.25">
      <c r="S473" s="11">
        <v>455</v>
      </c>
      <c r="T473" s="4">
        <v>557.50240506204932</v>
      </c>
      <c r="U473" s="7">
        <v>1.0338637957828949</v>
      </c>
    </row>
    <row r="474" spans="19:21" x14ac:dyDescent="0.25">
      <c r="S474" s="11">
        <v>456</v>
      </c>
      <c r="T474" s="4">
        <v>360.04269696125669</v>
      </c>
      <c r="U474" s="7">
        <v>0.31349712510034911</v>
      </c>
    </row>
    <row r="475" spans="19:21" x14ac:dyDescent="0.25">
      <c r="S475" s="11">
        <v>457</v>
      </c>
      <c r="T475" s="4">
        <v>236.41849218072753</v>
      </c>
      <c r="U475" s="7">
        <v>-0.13750504476039727</v>
      </c>
    </row>
    <row r="476" spans="19:21" x14ac:dyDescent="0.25">
      <c r="S476" s="11">
        <v>458</v>
      </c>
      <c r="T476" s="4">
        <v>344.0490255440638</v>
      </c>
      <c r="U476" s="7">
        <v>0.25514948576871976</v>
      </c>
    </row>
    <row r="477" spans="19:21" x14ac:dyDescent="0.25">
      <c r="S477" s="11">
        <v>459</v>
      </c>
      <c r="T477" s="4">
        <v>470.27137195091848</v>
      </c>
      <c r="U477" s="7">
        <v>0.71563011911611563</v>
      </c>
    </row>
    <row r="478" spans="19:21" x14ac:dyDescent="0.25">
      <c r="S478" s="11">
        <v>460</v>
      </c>
      <c r="T478" s="4">
        <v>346.05206558048411</v>
      </c>
      <c r="U478" s="7">
        <v>0.26245691722477882</v>
      </c>
    </row>
    <row r="479" spans="19:21" x14ac:dyDescent="0.25">
      <c r="S479" s="11">
        <v>461</v>
      </c>
      <c r="T479" s="4">
        <v>323.48369778403105</v>
      </c>
      <c r="U479" s="7">
        <v>0.18012366489376896</v>
      </c>
    </row>
    <row r="480" spans="19:21" x14ac:dyDescent="0.25">
      <c r="S480" s="11">
        <v>462</v>
      </c>
      <c r="T480" s="4">
        <v>431.23514411709897</v>
      </c>
      <c r="U480" s="7">
        <v>0.57321930654517872</v>
      </c>
    </row>
    <row r="481" spans="19:21" x14ac:dyDescent="0.25">
      <c r="S481" s="11">
        <v>463</v>
      </c>
      <c r="T481" s="4">
        <v>411.71933552154127</v>
      </c>
      <c r="U481" s="7">
        <v>0.50202231046492729</v>
      </c>
    </row>
    <row r="482" spans="19:21" x14ac:dyDescent="0.25">
      <c r="S482" s="11">
        <v>464</v>
      </c>
      <c r="T482" s="4">
        <v>265.09809955017226</v>
      </c>
      <c r="U482" s="7">
        <v>-3.287694885202197E-2</v>
      </c>
    </row>
    <row r="483" spans="19:21" x14ac:dyDescent="0.25">
      <c r="S483" s="11">
        <v>465</v>
      </c>
      <c r="T483" s="4">
        <v>275.93719024321456</v>
      </c>
      <c r="U483" s="7">
        <v>6.6659014381618142E-3</v>
      </c>
    </row>
    <row r="484" spans="19:21" x14ac:dyDescent="0.25">
      <c r="S484" s="11">
        <v>466</v>
      </c>
      <c r="T484" s="4">
        <v>295.47415968836822</v>
      </c>
      <c r="U484" s="7">
        <v>7.7940095904447837E-2</v>
      </c>
    </row>
    <row r="485" spans="19:21" x14ac:dyDescent="0.25">
      <c r="S485" s="11">
        <v>467</v>
      </c>
      <c r="T485" s="4">
        <v>469.91435824448632</v>
      </c>
      <c r="U485" s="7">
        <v>0.71432767226473426</v>
      </c>
    </row>
    <row r="486" spans="19:21" x14ac:dyDescent="0.25">
      <c r="S486" s="11">
        <v>468</v>
      </c>
      <c r="T486" s="4">
        <v>223.50562715393272</v>
      </c>
      <c r="U486" s="7">
        <v>-0.18461337727943994</v>
      </c>
    </row>
    <row r="487" spans="19:21" x14ac:dyDescent="0.25">
      <c r="S487" s="11">
        <v>469</v>
      </c>
      <c r="T487" s="4">
        <v>446.79702004611079</v>
      </c>
      <c r="U487" s="7">
        <v>0.629991682339611</v>
      </c>
    </row>
    <row r="488" spans="19:21" x14ac:dyDescent="0.25">
      <c r="S488" s="11">
        <v>470</v>
      </c>
      <c r="T488" s="4">
        <v>250.1014796714316</v>
      </c>
      <c r="U488" s="7">
        <v>-8.7587174231397613E-2</v>
      </c>
    </row>
    <row r="489" spans="19:21" x14ac:dyDescent="0.25">
      <c r="S489" s="11">
        <v>471</v>
      </c>
      <c r="T489" s="4">
        <v>374.98308455771786</v>
      </c>
      <c r="U489" s="7">
        <v>0.36800220552959706</v>
      </c>
    </row>
    <row r="490" spans="19:21" x14ac:dyDescent="0.25">
      <c r="S490" s="11">
        <v>472</v>
      </c>
      <c r="T490" s="4">
        <v>345.73646100985388</v>
      </c>
      <c r="U490" s="7">
        <v>0.26130553795868039</v>
      </c>
    </row>
    <row r="491" spans="19:21" x14ac:dyDescent="0.25">
      <c r="S491" s="11">
        <v>473</v>
      </c>
      <c r="T491" s="4">
        <v>215.85326943389919</v>
      </c>
      <c r="U491" s="7">
        <v>-0.21253048252927953</v>
      </c>
    </row>
    <row r="492" spans="19:21" x14ac:dyDescent="0.25">
      <c r="S492" s="11">
        <v>474</v>
      </c>
      <c r="T492" s="4">
        <v>365.44005273120564</v>
      </c>
      <c r="U492" s="7">
        <v>0.33318759888805816</v>
      </c>
    </row>
    <row r="493" spans="19:21" x14ac:dyDescent="0.25">
      <c r="S493" s="11">
        <v>475</v>
      </c>
      <c r="T493" s="4">
        <v>344.41898893469369</v>
      </c>
      <c r="U493" s="7">
        <v>0.25649917527523147</v>
      </c>
    </row>
    <row r="494" spans="19:21" x14ac:dyDescent="0.25">
      <c r="S494" s="11">
        <v>476</v>
      </c>
      <c r="T494" s="4">
        <v>401.99342763455439</v>
      </c>
      <c r="U494" s="7">
        <v>0.46654054078491991</v>
      </c>
    </row>
    <row r="495" spans="19:21" x14ac:dyDescent="0.25">
      <c r="S495" s="11">
        <v>477</v>
      </c>
      <c r="T495" s="4">
        <v>329.3989497827688</v>
      </c>
      <c r="U495" s="7">
        <v>0.20170351239563966</v>
      </c>
    </row>
    <row r="496" spans="19:21" x14ac:dyDescent="0.25">
      <c r="S496" s="11">
        <v>478</v>
      </c>
      <c r="T496" s="4">
        <v>365.30410436973892</v>
      </c>
      <c r="U496" s="7">
        <v>0.33269163609404573</v>
      </c>
    </row>
    <row r="497" spans="19:21" x14ac:dyDescent="0.25">
      <c r="S497" s="11">
        <v>479</v>
      </c>
      <c r="T497" s="4">
        <v>287.83880007335625</v>
      </c>
      <c r="U497" s="7">
        <v>5.008500263892679E-2</v>
      </c>
    </row>
    <row r="498" spans="19:21" x14ac:dyDescent="0.25">
      <c r="S498" s="11">
        <v>480</v>
      </c>
      <c r="T498" s="4">
        <v>280.09135852586206</v>
      </c>
      <c r="U498" s="7">
        <v>2.1821015380183217E-2</v>
      </c>
    </row>
    <row r="499" spans="19:21" x14ac:dyDescent="0.25">
      <c r="S499" s="11">
        <v>481</v>
      </c>
      <c r="T499" s="4">
        <v>341.77292120235279</v>
      </c>
      <c r="U499" s="7">
        <v>0.24684586918519136</v>
      </c>
    </row>
    <row r="500" spans="19:21" x14ac:dyDescent="0.25">
      <c r="S500" s="11">
        <v>482</v>
      </c>
      <c r="T500" s="4">
        <v>268.78732115445973</v>
      </c>
      <c r="U500" s="7">
        <v>-1.9418039639342854E-2</v>
      </c>
    </row>
    <row r="501" spans="19:21" x14ac:dyDescent="0.25">
      <c r="S501" s="11">
        <v>483</v>
      </c>
      <c r="T501" s="4">
        <v>290.55753079536237</v>
      </c>
      <c r="U501" s="7">
        <v>6.0003395700128914E-2</v>
      </c>
    </row>
    <row r="502" spans="19:21" x14ac:dyDescent="0.25">
      <c r="S502" s="11">
        <v>484</v>
      </c>
      <c r="T502" s="4">
        <v>368.01576682413958</v>
      </c>
      <c r="U502" s="7">
        <v>0.34258424291028988</v>
      </c>
    </row>
    <row r="503" spans="19:21" x14ac:dyDescent="0.25">
      <c r="S503" s="11">
        <v>485</v>
      </c>
      <c r="T503" s="4">
        <v>299.71600202651558</v>
      </c>
      <c r="U503" s="7">
        <v>9.3415059744319962E-2</v>
      </c>
    </row>
    <row r="504" spans="19:21" x14ac:dyDescent="0.25">
      <c r="S504" s="11">
        <v>486</v>
      </c>
      <c r="T504" s="4">
        <v>290.55671585151532</v>
      </c>
      <c r="U504" s="7">
        <v>6.000042264607397E-2</v>
      </c>
    </row>
    <row r="505" spans="19:21" x14ac:dyDescent="0.25">
      <c r="S505" s="11">
        <v>487</v>
      </c>
      <c r="T505" s="4">
        <v>300.96306468587335</v>
      </c>
      <c r="U505" s="7">
        <v>9.79645568781633E-2</v>
      </c>
    </row>
    <row r="506" spans="19:21" x14ac:dyDescent="0.25">
      <c r="S506" s="11">
        <v>488</v>
      </c>
      <c r="T506" s="4">
        <v>244.79849889410926</v>
      </c>
      <c r="U506" s="7">
        <v>-0.10693335196049303</v>
      </c>
    </row>
    <row r="507" spans="19:21" x14ac:dyDescent="0.25">
      <c r="S507" s="11">
        <v>489</v>
      </c>
      <c r="T507" s="4">
        <v>306.63341686801095</v>
      </c>
      <c r="U507" s="7">
        <v>0.1186509681077339</v>
      </c>
    </row>
    <row r="508" spans="19:21" x14ac:dyDescent="0.25">
      <c r="S508" s="11">
        <v>490</v>
      </c>
      <c r="T508" s="4">
        <v>321.20064417017045</v>
      </c>
      <c r="U508" s="7">
        <v>0.17179469618098731</v>
      </c>
    </row>
    <row r="509" spans="19:21" x14ac:dyDescent="0.25">
      <c r="S509" s="11">
        <v>491</v>
      </c>
      <c r="T509" s="4">
        <v>390.52881957423085</v>
      </c>
      <c r="U509" s="7">
        <v>0.42471569652413566</v>
      </c>
    </row>
    <row r="510" spans="19:21" x14ac:dyDescent="0.25">
      <c r="S510" s="11">
        <v>492</v>
      </c>
      <c r="T510" s="4">
        <v>326.78627600976711</v>
      </c>
      <c r="U510" s="7">
        <v>0.19217203316101972</v>
      </c>
    </row>
    <row r="511" spans="19:21" x14ac:dyDescent="0.25">
      <c r="S511" s="11">
        <v>493</v>
      </c>
      <c r="T511" s="4">
        <v>332.06048254498302</v>
      </c>
      <c r="U511" s="7">
        <v>0.21141323755055641</v>
      </c>
    </row>
    <row r="512" spans="19:21" x14ac:dyDescent="0.25">
      <c r="S512" s="11">
        <v>494</v>
      </c>
      <c r="T512" s="4">
        <v>379.47781037507707</v>
      </c>
      <c r="U512" s="7">
        <v>0.38439973140373218</v>
      </c>
    </row>
    <row r="513" spans="19:21" x14ac:dyDescent="0.25">
      <c r="S513" s="11">
        <v>495</v>
      </c>
      <c r="T513" s="4">
        <v>341.95851780312029</v>
      </c>
      <c r="U513" s="7">
        <v>0.24752295721834394</v>
      </c>
    </row>
    <row r="514" spans="19:21" x14ac:dyDescent="0.25">
      <c r="S514" s="11">
        <v>496</v>
      </c>
      <c r="T514" s="4">
        <v>281.84130650946537</v>
      </c>
      <c r="U514" s="7">
        <v>2.8205123889917694E-2</v>
      </c>
    </row>
    <row r="515" spans="19:21" x14ac:dyDescent="0.25">
      <c r="S515" s="11">
        <v>497</v>
      </c>
      <c r="T515" s="4">
        <v>304.23172930121996</v>
      </c>
      <c r="U515" s="7">
        <v>0.10988920251439183</v>
      </c>
    </row>
    <row r="516" spans="19:21" x14ac:dyDescent="0.25">
      <c r="S516" s="11">
        <v>498</v>
      </c>
      <c r="T516" s="4">
        <v>467.49228771909736</v>
      </c>
      <c r="U516" s="7">
        <v>0.70549154616430387</v>
      </c>
    </row>
    <row r="517" spans="19:21" x14ac:dyDescent="0.25">
      <c r="S517" s="11">
        <v>499</v>
      </c>
      <c r="T517" s="4">
        <v>366.52466297279301</v>
      </c>
      <c r="U517" s="7">
        <v>0.33714444191307491</v>
      </c>
    </row>
    <row r="518" spans="19:21" x14ac:dyDescent="0.25">
      <c r="S518" s="11">
        <v>500</v>
      </c>
      <c r="T518" s="4">
        <v>242.29320846935858</v>
      </c>
      <c r="U518" s="7">
        <v>-0.11607307843800463</v>
      </c>
    </row>
    <row r="519" spans="19:21" x14ac:dyDescent="0.25">
      <c r="S519" s="11">
        <v>501</v>
      </c>
      <c r="T519" s="4">
        <v>367.23145252585408</v>
      </c>
      <c r="U519" s="7">
        <v>0.33972293066963655</v>
      </c>
    </row>
    <row r="520" spans="19:21" x14ac:dyDescent="0.25">
      <c r="S520" s="11">
        <v>502</v>
      </c>
      <c r="T520" s="4">
        <v>315.55131190548332</v>
      </c>
      <c r="U520" s="7">
        <v>0.15118496919296387</v>
      </c>
    </row>
    <row r="521" spans="19:21" x14ac:dyDescent="0.25">
      <c r="S521" s="11">
        <v>503</v>
      </c>
      <c r="T521" s="4">
        <v>384.47440079796729</v>
      </c>
      <c r="U521" s="7">
        <v>0.40262814489791432</v>
      </c>
    </row>
    <row r="522" spans="19:21" x14ac:dyDescent="0.25">
      <c r="S522" s="11">
        <v>504</v>
      </c>
      <c r="T522" s="4">
        <v>269.75304034436101</v>
      </c>
      <c r="U522" s="7">
        <v>-1.5894931434967674E-2</v>
      </c>
    </row>
    <row r="523" spans="19:21" x14ac:dyDescent="0.25">
      <c r="S523" s="11">
        <v>505</v>
      </c>
      <c r="T523" s="4">
        <v>309.13095455157793</v>
      </c>
      <c r="U523" s="7">
        <v>0.12776241126401056</v>
      </c>
    </row>
    <row r="524" spans="19:21" x14ac:dyDescent="0.25">
      <c r="S524" s="11">
        <v>506</v>
      </c>
      <c r="T524" s="4">
        <v>321.17705235381777</v>
      </c>
      <c r="U524" s="7">
        <v>0.17170862921388408</v>
      </c>
    </row>
    <row r="525" spans="19:21" x14ac:dyDescent="0.25">
      <c r="S525" s="11">
        <v>507</v>
      </c>
      <c r="T525" s="4">
        <v>423.65787521985544</v>
      </c>
      <c r="U525" s="7">
        <v>0.54557613811920547</v>
      </c>
    </row>
    <row r="526" spans="19:21" x14ac:dyDescent="0.25">
      <c r="S526" s="11">
        <v>508</v>
      </c>
      <c r="T526" s="4">
        <v>341.91878350225102</v>
      </c>
      <c r="U526" s="7">
        <v>0.24737799971635832</v>
      </c>
    </row>
    <row r="527" spans="19:21" x14ac:dyDescent="0.25">
      <c r="S527" s="11">
        <v>509</v>
      </c>
      <c r="T527" s="4">
        <v>262.68063221301122</v>
      </c>
      <c r="U527" s="7">
        <v>-4.1696281737217844E-2</v>
      </c>
    </row>
    <row r="528" spans="19:21" x14ac:dyDescent="0.25">
      <c r="S528" s="11">
        <v>510</v>
      </c>
      <c r="T528" s="4">
        <v>332.80313814971885</v>
      </c>
      <c r="U528" s="7">
        <v>0.21412257177672767</v>
      </c>
    </row>
    <row r="529" spans="19:21" x14ac:dyDescent="0.25">
      <c r="S529" s="11">
        <v>511</v>
      </c>
      <c r="T529" s="4">
        <v>301.0619777177352</v>
      </c>
      <c r="U529" s="7">
        <v>9.8325408477382137E-2</v>
      </c>
    </row>
    <row r="530" spans="19:21" x14ac:dyDescent="0.25">
      <c r="S530" s="11">
        <v>512</v>
      </c>
      <c r="T530" s="4">
        <v>312.96159211815882</v>
      </c>
      <c r="U530" s="7">
        <v>0.14173723001042937</v>
      </c>
    </row>
    <row r="531" spans="19:21" x14ac:dyDescent="0.25">
      <c r="S531" s="11">
        <v>513</v>
      </c>
      <c r="T531" s="4">
        <v>324.09300219899853</v>
      </c>
      <c r="U531" s="7">
        <v>0.18234651125095214</v>
      </c>
    </row>
    <row r="532" spans="19:21" x14ac:dyDescent="0.25">
      <c r="S532" s="11">
        <v>514</v>
      </c>
      <c r="T532" s="4">
        <v>299.65702448677177</v>
      </c>
      <c r="U532" s="7">
        <v>9.3199899627053995E-2</v>
      </c>
    </row>
    <row r="533" spans="19:21" x14ac:dyDescent="0.25">
      <c r="S533" s="11">
        <v>515</v>
      </c>
      <c r="T533" s="4">
        <v>214.72769213435302</v>
      </c>
      <c r="U533" s="7">
        <v>-0.21663678036425882</v>
      </c>
    </row>
    <row r="534" spans="19:21" x14ac:dyDescent="0.25">
      <c r="S534" s="11">
        <v>516</v>
      </c>
      <c r="T534" s="4">
        <v>238.65358797151205</v>
      </c>
      <c r="U534" s="7">
        <v>-0.12935103436024942</v>
      </c>
    </row>
    <row r="535" spans="19:21" x14ac:dyDescent="0.25">
      <c r="S535" s="11">
        <v>517</v>
      </c>
      <c r="T535" s="4">
        <v>245.15313987377695</v>
      </c>
      <c r="U535" s="7">
        <v>-0.10563956122076201</v>
      </c>
    </row>
    <row r="536" spans="19:21" x14ac:dyDescent="0.25">
      <c r="S536" s="11">
        <v>518</v>
      </c>
      <c r="T536" s="4">
        <v>317.28470256596319</v>
      </c>
      <c r="U536" s="7">
        <v>0.15750867376587196</v>
      </c>
    </row>
    <row r="537" spans="19:21" x14ac:dyDescent="0.25">
      <c r="S537" s="11">
        <v>519</v>
      </c>
      <c r="T537" s="4">
        <v>319.09591748626025</v>
      </c>
      <c r="U537" s="7">
        <v>0.16411629450315646</v>
      </c>
    </row>
    <row r="538" spans="19:21" x14ac:dyDescent="0.25">
      <c r="S538" s="11">
        <v>520</v>
      </c>
      <c r="T538" s="4">
        <v>342.19098185091883</v>
      </c>
      <c r="U538" s="7">
        <v>0.24837102568647196</v>
      </c>
    </row>
    <row r="539" spans="19:21" x14ac:dyDescent="0.25">
      <c r="S539" s="11">
        <v>521</v>
      </c>
      <c r="T539" s="4">
        <v>308.41667601002814</v>
      </c>
      <c r="U539" s="7">
        <v>0.12515660140100016</v>
      </c>
    </row>
    <row r="540" spans="19:21" x14ac:dyDescent="0.25">
      <c r="S540" s="11">
        <v>522</v>
      </c>
      <c r="T540" s="4">
        <v>321.98995482837216</v>
      </c>
      <c r="U540" s="7">
        <v>0.17467423599420728</v>
      </c>
    </row>
    <row r="541" spans="19:21" x14ac:dyDescent="0.25">
      <c r="S541" s="11">
        <v>523</v>
      </c>
      <c r="T541" s="4">
        <v>336.03134107250457</v>
      </c>
      <c r="U541" s="7">
        <v>0.22589960626210126</v>
      </c>
    </row>
    <row r="542" spans="19:21" x14ac:dyDescent="0.25">
      <c r="S542" s="11">
        <v>524</v>
      </c>
      <c r="T542" s="4">
        <v>351.62635409599534</v>
      </c>
      <c r="U542" s="7">
        <v>0.28279287182516266</v>
      </c>
    </row>
    <row r="543" spans="19:21" x14ac:dyDescent="0.25">
      <c r="S543" s="11">
        <v>525</v>
      </c>
      <c r="T543" s="4">
        <v>312.50871692623718</v>
      </c>
      <c r="U543" s="7">
        <v>0.14008506412110888</v>
      </c>
    </row>
    <row r="544" spans="19:21" x14ac:dyDescent="0.25">
      <c r="S544" s="11">
        <v>526</v>
      </c>
      <c r="T544" s="4">
        <v>439.24025939023414</v>
      </c>
      <c r="U544" s="7">
        <v>0.60242333147362048</v>
      </c>
    </row>
    <row r="545" spans="19:21" x14ac:dyDescent="0.25">
      <c r="S545" s="11">
        <v>527</v>
      </c>
      <c r="T545" s="4">
        <v>385.5049833349097</v>
      </c>
      <c r="U545" s="7">
        <v>0.40638788564776807</v>
      </c>
    </row>
    <row r="546" spans="19:21" x14ac:dyDescent="0.25">
      <c r="S546" s="11">
        <v>528</v>
      </c>
      <c r="T546" s="4">
        <v>288.13899258040641</v>
      </c>
      <c r="U546" s="7">
        <v>5.1180156070214089E-2</v>
      </c>
    </row>
    <row r="547" spans="19:21" x14ac:dyDescent="0.25">
      <c r="S547" s="11">
        <v>529</v>
      </c>
      <c r="T547" s="4">
        <v>312.89693781454031</v>
      </c>
      <c r="U547" s="7">
        <v>0.14150136009098646</v>
      </c>
    </row>
    <row r="548" spans="19:21" x14ac:dyDescent="0.25">
      <c r="S548" s="11">
        <v>530</v>
      </c>
      <c r="T548" s="4">
        <v>340.17307668290209</v>
      </c>
      <c r="U548" s="7">
        <v>0.24100936369669879</v>
      </c>
    </row>
    <row r="549" spans="19:21" x14ac:dyDescent="0.25">
      <c r="S549" s="11">
        <v>531</v>
      </c>
      <c r="T549" s="4">
        <v>236.71431579289316</v>
      </c>
      <c r="U549" s="7">
        <v>-0.13642582980229412</v>
      </c>
    </row>
    <row r="550" spans="19:21" x14ac:dyDescent="0.25">
      <c r="S550" s="11">
        <v>532</v>
      </c>
      <c r="T550" s="4">
        <v>329.65350938678665</v>
      </c>
      <c r="U550" s="7">
        <v>0.20263218921887804</v>
      </c>
    </row>
    <row r="551" spans="19:21" x14ac:dyDescent="0.25">
      <c r="S551" s="11">
        <v>533</v>
      </c>
      <c r="T551" s="4">
        <v>436.80337728044748</v>
      </c>
      <c r="U551" s="7">
        <v>0.5935331701887836</v>
      </c>
    </row>
    <row r="552" spans="19:21" x14ac:dyDescent="0.25">
      <c r="S552" s="11">
        <v>534</v>
      </c>
      <c r="T552" s="4">
        <v>356.23922423943429</v>
      </c>
      <c r="U552" s="7">
        <v>0.29962140833765383</v>
      </c>
    </row>
    <row r="553" spans="19:21" x14ac:dyDescent="0.25">
      <c r="S553" s="11">
        <v>535</v>
      </c>
      <c r="T553" s="4">
        <v>341.21769059990851</v>
      </c>
      <c r="U553" s="7">
        <v>0.24482029331256983</v>
      </c>
    </row>
    <row r="554" spans="19:21" x14ac:dyDescent="0.25">
      <c r="S554" s="11">
        <v>536</v>
      </c>
      <c r="T554" s="4">
        <v>336.18706876713554</v>
      </c>
      <c r="U554" s="7">
        <v>0.2264677274347362</v>
      </c>
    </row>
    <row r="555" spans="19:21" x14ac:dyDescent="0.25">
      <c r="S555" s="11">
        <v>537</v>
      </c>
      <c r="T555" s="4">
        <v>457.76268798044384</v>
      </c>
      <c r="U555" s="7">
        <v>0.66999630798016785</v>
      </c>
    </row>
    <row r="556" spans="19:21" x14ac:dyDescent="0.25">
      <c r="S556" s="11">
        <v>538</v>
      </c>
      <c r="T556" s="4">
        <v>544.19358660304056</v>
      </c>
      <c r="U556" s="7">
        <v>0.98531095765583343</v>
      </c>
    </row>
    <row r="557" spans="19:21" x14ac:dyDescent="0.25">
      <c r="S557" s="11">
        <v>539</v>
      </c>
      <c r="T557" s="4">
        <v>471.93223656924204</v>
      </c>
      <c r="U557" s="7">
        <v>0.72168923632571591</v>
      </c>
    </row>
    <row r="558" spans="19:21" x14ac:dyDescent="0.25">
      <c r="S558" s="11">
        <v>540</v>
      </c>
      <c r="T558" s="4">
        <v>316.63910111452623</v>
      </c>
      <c r="U558" s="7">
        <v>0.15515340963308977</v>
      </c>
    </row>
    <row r="559" spans="19:21" x14ac:dyDescent="0.25">
      <c r="S559" s="11">
        <v>541</v>
      </c>
      <c r="T559" s="4">
        <v>470.64673755569413</v>
      </c>
      <c r="U559" s="7">
        <v>0.71699951682059804</v>
      </c>
    </row>
    <row r="560" spans="19:21" x14ac:dyDescent="0.25">
      <c r="S560" s="11">
        <v>542</v>
      </c>
      <c r="T560" s="4">
        <v>281.27978633006069</v>
      </c>
      <c r="U560" s="7">
        <v>2.615660256853336E-2</v>
      </c>
    </row>
    <row r="561" spans="19:21" x14ac:dyDescent="0.25">
      <c r="S561" s="11">
        <v>543</v>
      </c>
      <c r="T561" s="4">
        <v>289.31379849044362</v>
      </c>
      <c r="U561" s="7">
        <v>5.546604826691337E-2</v>
      </c>
    </row>
    <row r="562" spans="19:21" x14ac:dyDescent="0.25">
      <c r="S562" s="11">
        <v>544</v>
      </c>
      <c r="T562" s="4">
        <v>394.79202612091632</v>
      </c>
      <c r="U562" s="7">
        <v>0.44026860063812445</v>
      </c>
    </row>
    <row r="563" spans="19:21" x14ac:dyDescent="0.25">
      <c r="S563" s="11">
        <v>545</v>
      </c>
      <c r="T563" s="4">
        <v>297.92993094749198</v>
      </c>
      <c r="U563" s="7">
        <v>8.6899168025580842E-2</v>
      </c>
    </row>
    <row r="564" spans="19:21" x14ac:dyDescent="0.25">
      <c r="S564" s="11">
        <v>546</v>
      </c>
      <c r="T564" s="4">
        <v>293.78926045152895</v>
      </c>
      <c r="U564" s="7">
        <v>7.1793296309981214E-2</v>
      </c>
    </row>
    <row r="565" spans="19:21" x14ac:dyDescent="0.25">
      <c r="S565" s="11">
        <v>547</v>
      </c>
      <c r="T565" s="4">
        <v>364.91378048177842</v>
      </c>
      <c r="U565" s="7">
        <v>0.33126766802297758</v>
      </c>
    </row>
    <row r="566" spans="19:21" x14ac:dyDescent="0.25">
      <c r="S566" s="11">
        <v>548</v>
      </c>
      <c r="T566" s="4">
        <v>264.13199752945087</v>
      </c>
      <c r="U566" s="7">
        <v>-3.6401453688479579E-2</v>
      </c>
    </row>
    <row r="567" spans="19:21" x14ac:dyDescent="0.25">
      <c r="S567" s="11">
        <v>549</v>
      </c>
      <c r="T567" s="4">
        <v>355.7541387550433</v>
      </c>
      <c r="U567" s="7">
        <v>0.29785173381140151</v>
      </c>
    </row>
    <row r="568" spans="19:21" x14ac:dyDescent="0.25">
      <c r="S568" s="11">
        <v>550</v>
      </c>
      <c r="T568" s="4">
        <v>293.38556305003209</v>
      </c>
      <c r="U568" s="7">
        <v>7.0320539382116909E-2</v>
      </c>
    </row>
    <row r="569" spans="19:21" x14ac:dyDescent="0.25">
      <c r="S569" s="11">
        <v>551</v>
      </c>
      <c r="T569" s="4">
        <v>379.68052730715414</v>
      </c>
      <c r="U569" s="7">
        <v>0.3851392773235347</v>
      </c>
    </row>
    <row r="570" spans="19:21" x14ac:dyDescent="0.25">
      <c r="S570" s="11">
        <v>552</v>
      </c>
      <c r="T570" s="4">
        <v>259.6028906257805</v>
      </c>
      <c r="U570" s="7">
        <v>-5.292440762547701E-2</v>
      </c>
    </row>
    <row r="571" spans="19:21" x14ac:dyDescent="0.25">
      <c r="S571" s="11">
        <v>553</v>
      </c>
      <c r="T571" s="4">
        <v>344.11733644630925</v>
      </c>
      <c r="U571" s="7">
        <v>0.25539869558319372</v>
      </c>
    </row>
    <row r="572" spans="19:21" x14ac:dyDescent="0.25">
      <c r="S572" s="11">
        <v>554</v>
      </c>
      <c r="T572" s="4">
        <v>318.28858642166472</v>
      </c>
      <c r="U572" s="7">
        <v>0.16117101317596849</v>
      </c>
    </row>
    <row r="573" spans="19:21" x14ac:dyDescent="0.25">
      <c r="S573" s="11">
        <v>555</v>
      </c>
      <c r="T573" s="4">
        <v>360.50052909538834</v>
      </c>
      <c r="U573" s="7">
        <v>0.31516737475972545</v>
      </c>
    </row>
    <row r="574" spans="19:21" x14ac:dyDescent="0.25">
      <c r="S574" s="11">
        <v>556</v>
      </c>
      <c r="T574" s="4">
        <v>277.7147670455567</v>
      </c>
      <c r="U574" s="7">
        <v>1.3150804587781062E-2</v>
      </c>
    </row>
    <row r="575" spans="19:21" x14ac:dyDescent="0.25">
      <c r="S575" s="11">
        <v>557</v>
      </c>
      <c r="T575" s="4">
        <v>304.63659210607409</v>
      </c>
      <c r="U575" s="7">
        <v>0.11136621103233768</v>
      </c>
    </row>
    <row r="576" spans="19:21" x14ac:dyDescent="0.25">
      <c r="S576" s="11">
        <v>558</v>
      </c>
      <c r="T576" s="4">
        <v>362.89155883419181</v>
      </c>
      <c r="U576" s="7">
        <v>0.32389025878002187</v>
      </c>
    </row>
    <row r="577" spans="19:21" x14ac:dyDescent="0.25">
      <c r="S577" s="11">
        <v>559</v>
      </c>
      <c r="T577" s="4">
        <v>286.52346596512422</v>
      </c>
      <c r="U577" s="7">
        <v>4.52864396232322E-2</v>
      </c>
    </row>
    <row r="578" spans="19:21" x14ac:dyDescent="0.25">
      <c r="S578" s="11">
        <v>560</v>
      </c>
      <c r="T578" s="4">
        <v>407.48504770823843</v>
      </c>
      <c r="U578" s="7">
        <v>0.48657490681930038</v>
      </c>
    </row>
    <row r="579" spans="19:21" x14ac:dyDescent="0.25">
      <c r="S579" s="11">
        <v>561</v>
      </c>
      <c r="T579" s="4">
        <v>210.44061023464323</v>
      </c>
      <c r="U579" s="7">
        <v>-0.23227678583545575</v>
      </c>
    </row>
    <row r="580" spans="19:21" x14ac:dyDescent="0.25">
      <c r="S580" s="11">
        <v>562</v>
      </c>
      <c r="T580" s="4">
        <v>430.68002530415333</v>
      </c>
      <c r="U580" s="7">
        <v>0.57119413849970191</v>
      </c>
    </row>
    <row r="581" spans="19:21" x14ac:dyDescent="0.25">
      <c r="S581" s="11">
        <v>563</v>
      </c>
      <c r="T581" s="4">
        <v>346.10399744910728</v>
      </c>
      <c r="U581" s="7">
        <v>0.26264637353291476</v>
      </c>
    </row>
    <row r="582" spans="19:21" x14ac:dyDescent="0.25">
      <c r="S582" s="11">
        <v>564</v>
      </c>
      <c r="T582" s="4">
        <v>268.60017505816069</v>
      </c>
      <c r="U582" s="7">
        <v>-2.0100780496294601E-2</v>
      </c>
    </row>
    <row r="583" spans="19:21" x14ac:dyDescent="0.25">
      <c r="S583" s="11">
        <v>565</v>
      </c>
      <c r="T583" s="4">
        <v>408.23880334234286</v>
      </c>
      <c r="U583" s="7">
        <v>0.4893247358445254</v>
      </c>
    </row>
    <row r="584" spans="19:21" x14ac:dyDescent="0.25">
      <c r="S584" s="11">
        <v>566</v>
      </c>
      <c r="T584" s="4">
        <v>484.37547855415778</v>
      </c>
      <c r="U584" s="7">
        <v>0.76708430394424787</v>
      </c>
    </row>
    <row r="585" spans="19:21" x14ac:dyDescent="0.25">
      <c r="S585" s="11">
        <v>567</v>
      </c>
      <c r="T585" s="4">
        <v>385.36332583797906</v>
      </c>
      <c r="U585" s="7">
        <v>0.40587109495450391</v>
      </c>
    </row>
    <row r="586" spans="19:21" x14ac:dyDescent="0.25">
      <c r="S586" s="11">
        <v>568</v>
      </c>
      <c r="T586" s="4">
        <v>352.38666215868835</v>
      </c>
      <c r="U586" s="7">
        <v>0.28556660522669119</v>
      </c>
    </row>
    <row r="587" spans="19:21" x14ac:dyDescent="0.25">
      <c r="S587" s="11">
        <v>569</v>
      </c>
      <c r="T587" s="4">
        <v>339.1144472223902</v>
      </c>
      <c r="U587" s="7">
        <v>0.237147302989275</v>
      </c>
    </row>
    <row r="588" spans="19:21" x14ac:dyDescent="0.25">
      <c r="S588" s="11">
        <v>570</v>
      </c>
      <c r="T588" s="4">
        <v>246.75223871735994</v>
      </c>
      <c r="U588" s="7">
        <v>-9.9805776084929687E-2</v>
      </c>
    </row>
    <row r="589" spans="19:21" x14ac:dyDescent="0.25">
      <c r="S589" s="11">
        <v>571</v>
      </c>
      <c r="T589" s="4">
        <v>313.77607725641661</v>
      </c>
      <c r="U589" s="7">
        <v>0.1447086106176958</v>
      </c>
    </row>
    <row r="590" spans="19:21" x14ac:dyDescent="0.25">
      <c r="S590" s="11">
        <v>572</v>
      </c>
      <c r="T590" s="4">
        <v>302.67242655902237</v>
      </c>
      <c r="U590" s="7">
        <v>0.1042006003393614</v>
      </c>
    </row>
    <row r="591" spans="19:21" x14ac:dyDescent="0.25">
      <c r="S591" s="11">
        <v>573</v>
      </c>
      <c r="T591" s="4">
        <v>290.96492630271126</v>
      </c>
      <c r="U591" s="7">
        <v>6.1489643948455797E-2</v>
      </c>
    </row>
    <row r="592" spans="19:21" x14ac:dyDescent="0.25">
      <c r="S592" s="11">
        <v>574</v>
      </c>
      <c r="T592" s="4">
        <v>367.39204131842268</v>
      </c>
      <c r="U592" s="7">
        <v>0.34030878595608582</v>
      </c>
    </row>
    <row r="593" spans="19:21" x14ac:dyDescent="0.25">
      <c r="S593" s="11">
        <v>575</v>
      </c>
      <c r="T593" s="4">
        <v>441.52942026263327</v>
      </c>
      <c r="U593" s="7">
        <v>0.61077458050648725</v>
      </c>
    </row>
    <row r="594" spans="19:21" x14ac:dyDescent="0.25">
      <c r="S594" s="11">
        <v>576</v>
      </c>
      <c r="T594" s="4">
        <v>346.02856930855404</v>
      </c>
      <c r="U594" s="7">
        <v>0.26237119882001392</v>
      </c>
    </row>
    <row r="595" spans="19:21" x14ac:dyDescent="0.25">
      <c r="S595" s="11">
        <v>577</v>
      </c>
      <c r="T595" s="4">
        <v>315.7081520174122</v>
      </c>
      <c r="U595" s="7">
        <v>0.15175714865350476</v>
      </c>
    </row>
    <row r="596" spans="19:21" x14ac:dyDescent="0.25">
      <c r="S596" s="11">
        <v>578</v>
      </c>
      <c r="T596" s="4">
        <v>362.55685482302073</v>
      </c>
      <c r="U596" s="7">
        <v>0.32266920149947365</v>
      </c>
    </row>
    <row r="597" spans="19:21" x14ac:dyDescent="0.25">
      <c r="S597" s="11">
        <v>579</v>
      </c>
      <c r="T597" s="4">
        <v>336.89709458095064</v>
      </c>
      <c r="U597" s="7">
        <v>0.22905802262212482</v>
      </c>
    </row>
    <row r="598" spans="19:21" x14ac:dyDescent="0.25">
      <c r="S598" s="11">
        <v>580</v>
      </c>
      <c r="T598" s="4">
        <v>314.38550955973824</v>
      </c>
      <c r="U598" s="7">
        <v>0.14693192353339257</v>
      </c>
    </row>
    <row r="599" spans="19:21" x14ac:dyDescent="0.25">
      <c r="S599" s="11">
        <v>581</v>
      </c>
      <c r="T599" s="4">
        <v>254.67087356857559</v>
      </c>
      <c r="U599" s="7">
        <v>-7.0917246475591611E-2</v>
      </c>
    </row>
    <row r="600" spans="19:21" x14ac:dyDescent="0.25">
      <c r="S600" s="11">
        <v>582</v>
      </c>
      <c r="T600" s="4">
        <v>391.24949875717027</v>
      </c>
      <c r="U600" s="7">
        <v>0.42734485701787706</v>
      </c>
    </row>
    <row r="601" spans="19:21" x14ac:dyDescent="0.25">
      <c r="S601" s="11">
        <v>583</v>
      </c>
      <c r="T601" s="4">
        <v>282.79874665498636</v>
      </c>
      <c r="U601" s="7">
        <v>3.1698028729292504E-2</v>
      </c>
    </row>
    <row r="602" spans="19:21" x14ac:dyDescent="0.25">
      <c r="S602" s="11">
        <v>584</v>
      </c>
      <c r="T602" s="4">
        <v>324.96884710811798</v>
      </c>
      <c r="U602" s="7">
        <v>0.18554174276063606</v>
      </c>
    </row>
    <row r="603" spans="19:21" x14ac:dyDescent="0.25">
      <c r="S603" s="11">
        <v>585</v>
      </c>
      <c r="T603" s="4">
        <v>428.11044601616243</v>
      </c>
      <c r="U603" s="7">
        <v>0.56181987529153399</v>
      </c>
    </row>
    <row r="604" spans="19:21" x14ac:dyDescent="0.25">
      <c r="S604" s="11">
        <v>586</v>
      </c>
      <c r="T604" s="4">
        <v>416.41522064923669</v>
      </c>
      <c r="U604" s="7">
        <v>0.51915369978926962</v>
      </c>
    </row>
    <row r="605" spans="19:21" x14ac:dyDescent="0.25">
      <c r="S605" s="11">
        <v>587</v>
      </c>
      <c r="T605" s="4">
        <v>351.25892776666939</v>
      </c>
      <c r="U605" s="7">
        <v>0.28145243795071084</v>
      </c>
    </row>
    <row r="606" spans="19:21" x14ac:dyDescent="0.25">
      <c r="S606" s="11">
        <v>588</v>
      </c>
      <c r="T606" s="4">
        <v>338.63728619191551</v>
      </c>
      <c r="U606" s="7">
        <v>0.23540653822157331</v>
      </c>
    </row>
    <row r="607" spans="19:21" x14ac:dyDescent="0.25">
      <c r="S607" s="11">
        <v>589</v>
      </c>
      <c r="T607" s="4">
        <v>327.61545175347527</v>
      </c>
      <c r="U607" s="7">
        <v>0.19519700760087288</v>
      </c>
    </row>
    <row r="608" spans="19:21" x14ac:dyDescent="0.25">
      <c r="S608" s="11">
        <v>590</v>
      </c>
      <c r="T608" s="4">
        <v>418.49285710737075</v>
      </c>
      <c r="U608" s="7">
        <v>0.52673327170614259</v>
      </c>
    </row>
    <row r="609" spans="19:21" x14ac:dyDescent="0.25">
      <c r="S609" s="11">
        <v>591</v>
      </c>
      <c r="T609" s="4">
        <v>285.73880232740322</v>
      </c>
      <c r="U609" s="7">
        <v>4.2423852932775841E-2</v>
      </c>
    </row>
    <row r="610" spans="19:21" x14ac:dyDescent="0.25">
      <c r="S610" s="11">
        <v>592</v>
      </c>
      <c r="T610" s="4">
        <v>384.14854939333071</v>
      </c>
      <c r="U610" s="7">
        <v>0.40143938343486441</v>
      </c>
    </row>
    <row r="611" spans="19:21" x14ac:dyDescent="0.25">
      <c r="S611" s="11">
        <v>593</v>
      </c>
      <c r="T611" s="4">
        <v>317.37069980605071</v>
      </c>
      <c r="U611" s="7">
        <v>0.15782240635529776</v>
      </c>
    </row>
    <row r="612" spans="19:21" x14ac:dyDescent="0.25">
      <c r="S612" s="11">
        <v>594</v>
      </c>
      <c r="T612" s="4">
        <v>263.81358761314249</v>
      </c>
      <c r="U612" s="7">
        <v>-3.7563067333762135E-2</v>
      </c>
    </row>
    <row r="613" spans="19:21" x14ac:dyDescent="0.25">
      <c r="S613" s="11">
        <v>595</v>
      </c>
      <c r="T613" s="4">
        <v>280.87083442381373</v>
      </c>
      <c r="U613" s="7">
        <v>2.4664676311749734E-2</v>
      </c>
    </row>
    <row r="614" spans="19:21" x14ac:dyDescent="0.25">
      <c r="S614" s="11">
        <v>596</v>
      </c>
      <c r="T614" s="4">
        <v>400.08480219295643</v>
      </c>
      <c r="U614" s="7">
        <v>0.45957754986303456</v>
      </c>
    </row>
    <row r="615" spans="19:21" x14ac:dyDescent="0.25">
      <c r="S615" s="11">
        <v>597</v>
      </c>
      <c r="T615" s="4">
        <v>477.47336982179786</v>
      </c>
      <c r="U615" s="7">
        <v>0.74190423487577184</v>
      </c>
    </row>
    <row r="616" spans="19:21" x14ac:dyDescent="0.25">
      <c r="S616" s="11">
        <v>598</v>
      </c>
      <c r="T616" s="4">
        <v>344.29774204416071</v>
      </c>
      <c r="U616" s="7">
        <v>0.25605684595294109</v>
      </c>
    </row>
    <row r="617" spans="19:21" x14ac:dyDescent="0.25">
      <c r="S617" s="11">
        <v>599</v>
      </c>
      <c r="T617" s="4">
        <v>231.80923252579322</v>
      </c>
      <c r="U617" s="7">
        <v>-0.15432040959544269</v>
      </c>
    </row>
    <row r="618" spans="19:21" x14ac:dyDescent="0.25">
      <c r="S618" s="11">
        <v>600</v>
      </c>
      <c r="T618" s="4">
        <v>381.04957193649892</v>
      </c>
      <c r="U618" s="7">
        <v>0.39013378547480548</v>
      </c>
    </row>
    <row r="619" spans="19:21" x14ac:dyDescent="0.25">
      <c r="S619" s="11">
        <v>601</v>
      </c>
      <c r="T619" s="4">
        <v>335.11304415141433</v>
      </c>
      <c r="U619" s="7">
        <v>0.22254950257711981</v>
      </c>
    </row>
    <row r="620" spans="19:21" x14ac:dyDescent="0.25">
      <c r="S620" s="11">
        <v>602</v>
      </c>
      <c r="T620" s="4">
        <v>300.33853128985652</v>
      </c>
      <c r="U620" s="7">
        <v>9.5686152602446173E-2</v>
      </c>
    </row>
    <row r="621" spans="19:21" x14ac:dyDescent="0.25">
      <c r="S621" s="11">
        <v>603</v>
      </c>
      <c r="T621" s="4">
        <v>385.53636967881397</v>
      </c>
      <c r="U621" s="7">
        <v>0.40650238837989838</v>
      </c>
    </row>
    <row r="622" spans="19:21" x14ac:dyDescent="0.25">
      <c r="S622" s="11">
        <v>604</v>
      </c>
      <c r="T622" s="4">
        <v>320.81464880748729</v>
      </c>
      <c r="U622" s="7">
        <v>0.17038651930789572</v>
      </c>
    </row>
    <row r="623" spans="19:21" x14ac:dyDescent="0.25">
      <c r="S623" s="11">
        <v>605</v>
      </c>
      <c r="T623" s="4">
        <v>478.64552140463485</v>
      </c>
      <c r="U623" s="7">
        <v>0.74618044363443436</v>
      </c>
    </row>
    <row r="624" spans="19:21" x14ac:dyDescent="0.25">
      <c r="S624" s="11">
        <v>606</v>
      </c>
      <c r="T624" s="4">
        <v>256.37567779186264</v>
      </c>
      <c r="U624" s="7">
        <v>-6.4697830097907305E-2</v>
      </c>
    </row>
    <row r="625" spans="19:21" x14ac:dyDescent="0.25">
      <c r="S625" s="11">
        <v>607</v>
      </c>
      <c r="T625" s="4">
        <v>322.17400108825996</v>
      </c>
      <c r="U625" s="7">
        <v>0.17534566811958685</v>
      </c>
    </row>
    <row r="626" spans="19:21" x14ac:dyDescent="0.25">
      <c r="S626" s="11">
        <v>608</v>
      </c>
      <c r="T626" s="4">
        <v>253.96234996745059</v>
      </c>
      <c r="U626" s="7">
        <v>-7.3502061335045887E-2</v>
      </c>
    </row>
    <row r="627" spans="19:21" x14ac:dyDescent="0.25">
      <c r="S627" s="11">
        <v>609</v>
      </c>
      <c r="T627" s="4">
        <v>246.68750686700886</v>
      </c>
      <c r="U627" s="7">
        <v>-0.10004192890807029</v>
      </c>
    </row>
    <row r="628" spans="19:21" x14ac:dyDescent="0.25">
      <c r="S628" s="11">
        <v>610</v>
      </c>
      <c r="T628" s="4">
        <v>344.53963539182797</v>
      </c>
      <c r="U628" s="7">
        <v>0.25693931411414384</v>
      </c>
    </row>
    <row r="629" spans="19:21" x14ac:dyDescent="0.25">
      <c r="S629" s="11">
        <v>611</v>
      </c>
      <c r="T629" s="4">
        <v>302.9268603493552</v>
      </c>
      <c r="U629" s="7">
        <v>0.10512881817283271</v>
      </c>
    </row>
    <row r="630" spans="19:21" x14ac:dyDescent="0.25">
      <c r="S630" s="11">
        <v>612</v>
      </c>
      <c r="T630" s="4">
        <v>349.92790058272954</v>
      </c>
      <c r="U630" s="7">
        <v>0.27659662392006679</v>
      </c>
    </row>
    <row r="631" spans="19:21" x14ac:dyDescent="0.25">
      <c r="S631" s="11">
        <v>613</v>
      </c>
      <c r="T631" s="4">
        <v>351.23539050808694</v>
      </c>
      <c r="U631" s="7">
        <v>0.28136657001965237</v>
      </c>
    </row>
    <row r="632" spans="19:21" x14ac:dyDescent="0.25">
      <c r="S632" s="11">
        <v>614</v>
      </c>
      <c r="T632" s="4">
        <v>398.02612518599909</v>
      </c>
      <c r="U632" s="7">
        <v>0.45206714525555092</v>
      </c>
    </row>
    <row r="633" spans="19:21" x14ac:dyDescent="0.25">
      <c r="S633" s="11">
        <v>615</v>
      </c>
      <c r="T633" s="4">
        <v>308.96414205125092</v>
      </c>
      <c r="U633" s="7">
        <v>0.12715385083087405</v>
      </c>
    </row>
    <row r="634" spans="19:21" x14ac:dyDescent="0.25">
      <c r="S634" s="11">
        <v>616</v>
      </c>
      <c r="T634" s="4">
        <v>322.02327340863923</v>
      </c>
      <c r="U634" s="7">
        <v>0.17479578785392436</v>
      </c>
    </row>
    <row r="635" spans="19:21" x14ac:dyDescent="0.25">
      <c r="S635" s="11">
        <v>617</v>
      </c>
      <c r="T635" s="4">
        <v>326.45052551938483</v>
      </c>
      <c r="U635" s="7">
        <v>0.19094715814594432</v>
      </c>
    </row>
    <row r="636" spans="19:21" x14ac:dyDescent="0.25">
      <c r="S636" s="11">
        <v>618</v>
      </c>
      <c r="T636" s="4">
        <v>292.06964551150617</v>
      </c>
      <c r="U636" s="7">
        <v>6.5519847913269036E-2</v>
      </c>
    </row>
    <row r="637" spans="19:21" x14ac:dyDescent="0.25">
      <c r="S637" s="11">
        <v>619</v>
      </c>
      <c r="T637" s="4">
        <v>364.22918729886061</v>
      </c>
      <c r="U637" s="7">
        <v>0.32877015540790411</v>
      </c>
    </row>
    <row r="638" spans="19:21" x14ac:dyDescent="0.25">
      <c r="S638" s="11">
        <v>620</v>
      </c>
      <c r="T638" s="4">
        <v>300.2591592077851</v>
      </c>
      <c r="U638" s="7">
        <v>9.5396589718671709E-2</v>
      </c>
    </row>
    <row r="639" spans="19:21" x14ac:dyDescent="0.25">
      <c r="S639" s="11">
        <v>621</v>
      </c>
      <c r="T639" s="4">
        <v>228.10832382410945</v>
      </c>
      <c r="U639" s="7">
        <v>-0.16782195533140187</v>
      </c>
    </row>
    <row r="640" spans="19:21" x14ac:dyDescent="0.25">
      <c r="S640" s="11">
        <v>622</v>
      </c>
      <c r="T640" s="4">
        <v>297.02200564193464</v>
      </c>
      <c r="U640" s="7">
        <v>8.3586901761827814E-2</v>
      </c>
    </row>
    <row r="641" spans="19:21" x14ac:dyDescent="0.25">
      <c r="S641" s="11">
        <v>623</v>
      </c>
      <c r="T641" s="4">
        <v>271.21649752243007</v>
      </c>
      <c r="U641" s="7">
        <v>-1.0555990214037969E-2</v>
      </c>
    </row>
    <row r="642" spans="19:21" x14ac:dyDescent="0.25">
      <c r="S642" s="11">
        <v>624</v>
      </c>
      <c r="T642" s="4">
        <v>341.60924253045471</v>
      </c>
      <c r="U642" s="7">
        <v>0.24624874149230114</v>
      </c>
    </row>
    <row r="643" spans="19:21" x14ac:dyDescent="0.25">
      <c r="S643" s="11">
        <v>625</v>
      </c>
      <c r="T643" s="4">
        <v>347.19964060944852</v>
      </c>
      <c r="U643" s="7">
        <v>0.26664346652602422</v>
      </c>
    </row>
    <row r="644" spans="19:21" x14ac:dyDescent="0.25">
      <c r="S644" s="11">
        <v>626</v>
      </c>
      <c r="T644" s="4">
        <v>351.13380273688836</v>
      </c>
      <c r="U644" s="7">
        <v>0.28099596051544395</v>
      </c>
    </row>
    <row r="645" spans="19:21" x14ac:dyDescent="0.25">
      <c r="S645" s="11">
        <v>627</v>
      </c>
      <c r="T645" s="4">
        <v>388.08131629900822</v>
      </c>
      <c r="U645" s="7">
        <v>0.41578678741749009</v>
      </c>
    </row>
    <row r="646" spans="19:21" x14ac:dyDescent="0.25">
      <c r="S646" s="11">
        <v>628</v>
      </c>
      <c r="T646" s="4">
        <v>408.10054381807123</v>
      </c>
      <c r="U646" s="7">
        <v>0.48882034153468035</v>
      </c>
    </row>
    <row r="647" spans="19:21" x14ac:dyDescent="0.25">
      <c r="S647" s="11">
        <v>629</v>
      </c>
      <c r="T647" s="4">
        <v>298.42598797901945</v>
      </c>
      <c r="U647" s="7">
        <v>8.8708868625805071E-2</v>
      </c>
    </row>
    <row r="648" spans="19:21" x14ac:dyDescent="0.25">
      <c r="S648" s="11">
        <v>630</v>
      </c>
      <c r="T648" s="4">
        <v>520.76860134147114</v>
      </c>
      <c r="U648" s="7">
        <v>0.89985261880803735</v>
      </c>
    </row>
    <row r="649" spans="19:21" x14ac:dyDescent="0.25">
      <c r="S649" s="11">
        <v>631</v>
      </c>
      <c r="T649" s="4">
        <v>363.67841291574911</v>
      </c>
      <c r="U649" s="7">
        <v>0.32676083658293775</v>
      </c>
    </row>
    <row r="650" spans="19:21" x14ac:dyDescent="0.25">
      <c r="S650" s="11">
        <v>632</v>
      </c>
      <c r="T650" s="4">
        <v>262.05515123339802</v>
      </c>
      <c r="U650" s="7">
        <v>-4.3978142959403166E-2</v>
      </c>
    </row>
    <row r="651" spans="19:21" x14ac:dyDescent="0.25">
      <c r="S651" s="11">
        <v>633</v>
      </c>
      <c r="T651" s="4">
        <v>395.32885682828544</v>
      </c>
      <c r="U651" s="7">
        <v>0.44222705055738731</v>
      </c>
    </row>
    <row r="652" spans="19:21" x14ac:dyDescent="0.25">
      <c r="S652" s="11">
        <v>634</v>
      </c>
      <c r="T652" s="4">
        <v>287.58635561847996</v>
      </c>
      <c r="U652" s="7">
        <v>4.916404224026838E-2</v>
      </c>
    </row>
    <row r="653" spans="19:21" x14ac:dyDescent="0.25">
      <c r="S653" s="11">
        <v>635</v>
      </c>
      <c r="T653" s="4">
        <v>301.39781500222909</v>
      </c>
      <c r="U653" s="7">
        <v>9.9550600132169764E-2</v>
      </c>
    </row>
    <row r="654" spans="19:21" x14ac:dyDescent="0.25">
      <c r="S654" s="11">
        <v>636</v>
      </c>
      <c r="T654" s="4">
        <v>361.91812857262994</v>
      </c>
      <c r="U654" s="7">
        <v>0.32033901927193442</v>
      </c>
    </row>
    <row r="655" spans="19:21" x14ac:dyDescent="0.25">
      <c r="S655" s="11">
        <v>637</v>
      </c>
      <c r="T655" s="4">
        <v>240.32844674543298</v>
      </c>
      <c r="U655" s="7">
        <v>-0.12324086408583057</v>
      </c>
    </row>
    <row r="656" spans="19:21" x14ac:dyDescent="0.25">
      <c r="S656" s="11">
        <v>638</v>
      </c>
      <c r="T656" s="4">
        <v>272.95381616721124</v>
      </c>
      <c r="U656" s="7">
        <v>-4.2179556849030186E-3</v>
      </c>
    </row>
    <row r="657" spans="19:21" x14ac:dyDescent="0.25">
      <c r="S657" s="11">
        <v>639</v>
      </c>
      <c r="T657" s="4">
        <v>266.14950984346444</v>
      </c>
      <c r="U657" s="7">
        <v>-2.9041224897068951E-2</v>
      </c>
    </row>
    <row r="658" spans="19:21" x14ac:dyDescent="0.25">
      <c r="S658" s="11">
        <v>640</v>
      </c>
      <c r="T658" s="4">
        <v>260.85801611120382</v>
      </c>
      <c r="U658" s="7">
        <v>-4.8345495927898274E-2</v>
      </c>
    </row>
    <row r="659" spans="19:21" x14ac:dyDescent="0.25">
      <c r="S659" s="11">
        <v>641</v>
      </c>
      <c r="T659" s="4">
        <v>373.31955254979886</v>
      </c>
      <c r="U659" s="7">
        <v>0.36193335722811582</v>
      </c>
    </row>
    <row r="660" spans="19:21" x14ac:dyDescent="0.25">
      <c r="S660" s="11">
        <v>642</v>
      </c>
      <c r="T660" s="4">
        <v>315.88814764213208</v>
      </c>
      <c r="U660" s="7">
        <v>0.15241380337139132</v>
      </c>
    </row>
    <row r="661" spans="19:21" x14ac:dyDescent="0.25">
      <c r="S661" s="11">
        <v>643</v>
      </c>
      <c r="T661" s="4">
        <v>394.54018464823707</v>
      </c>
      <c r="U661" s="7">
        <v>0.43934984002129451</v>
      </c>
    </row>
    <row r="662" spans="19:21" x14ac:dyDescent="0.25">
      <c r="S662" s="11">
        <v>644</v>
      </c>
      <c r="T662" s="4">
        <v>347.0987117977653</v>
      </c>
      <c r="U662" s="7">
        <v>0.26627526101844246</v>
      </c>
    </row>
    <row r="663" spans="19:21" x14ac:dyDescent="0.25">
      <c r="S663" s="11">
        <v>645</v>
      </c>
      <c r="T663" s="4">
        <v>377.78581285038689</v>
      </c>
      <c r="U663" s="7">
        <v>0.37822703604533525</v>
      </c>
    </row>
    <row r="664" spans="19:21" x14ac:dyDescent="0.25">
      <c r="S664" s="11">
        <v>646</v>
      </c>
      <c r="T664" s="4">
        <v>275.35520061100516</v>
      </c>
      <c r="U664" s="7">
        <v>4.5427040640806382E-3</v>
      </c>
    </row>
    <row r="665" spans="19:21" x14ac:dyDescent="0.25">
      <c r="S665" s="11">
        <v>647</v>
      </c>
      <c r="T665" s="4">
        <v>266.00576758998574</v>
      </c>
      <c r="U665" s="7">
        <v>-2.9565621137551679E-2</v>
      </c>
    </row>
    <row r="666" spans="19:21" x14ac:dyDescent="0.25">
      <c r="S666" s="11">
        <v>648</v>
      </c>
      <c r="T666" s="4">
        <v>343.89170174466534</v>
      </c>
      <c r="U666" s="7">
        <v>0.25457554173384889</v>
      </c>
    </row>
    <row r="667" spans="19:21" x14ac:dyDescent="0.25">
      <c r="S667" s="11">
        <v>649</v>
      </c>
      <c r="T667" s="4">
        <v>478.89665260570735</v>
      </c>
      <c r="U667" s="7">
        <v>0.74709661305938235</v>
      </c>
    </row>
    <row r="668" spans="19:21" x14ac:dyDescent="0.25">
      <c r="S668" s="11">
        <v>650</v>
      </c>
      <c r="T668" s="4">
        <v>235.33008444285687</v>
      </c>
      <c r="U668" s="7">
        <v>-0.14147574169911037</v>
      </c>
    </row>
    <row r="669" spans="19:21" x14ac:dyDescent="0.25">
      <c r="S669" s="11">
        <v>651</v>
      </c>
      <c r="T669" s="4">
        <v>286.04437870503563</v>
      </c>
      <c r="U669" s="7">
        <v>4.3538647641587769E-2</v>
      </c>
    </row>
    <row r="670" spans="19:21" x14ac:dyDescent="0.25">
      <c r="S670" s="11">
        <v>652</v>
      </c>
      <c r="T670" s="4">
        <v>353.41115502445882</v>
      </c>
      <c r="U670" s="7">
        <v>0.28930412981817089</v>
      </c>
    </row>
    <row r="671" spans="19:21" x14ac:dyDescent="0.25">
      <c r="S671" s="11">
        <v>653</v>
      </c>
      <c r="T671" s="4">
        <v>471.40968749458506</v>
      </c>
      <c r="U671" s="7">
        <v>0.71978288823678471</v>
      </c>
    </row>
    <row r="672" spans="19:21" x14ac:dyDescent="0.25">
      <c r="S672" s="11">
        <v>654</v>
      </c>
      <c r="T672" s="4">
        <v>323.85260182439947</v>
      </c>
      <c r="U672" s="7">
        <v>0.18146948970996846</v>
      </c>
    </row>
    <row r="673" spans="19:21" x14ac:dyDescent="0.25">
      <c r="S673" s="11">
        <v>655</v>
      </c>
      <c r="T673" s="4">
        <v>323.54709463276004</v>
      </c>
      <c r="U673" s="7">
        <v>0.18035494740345115</v>
      </c>
    </row>
    <row r="674" spans="19:21" x14ac:dyDescent="0.25">
      <c r="S674" s="11">
        <v>656</v>
      </c>
      <c r="T674" s="4">
        <v>277.26399862891265</v>
      </c>
      <c r="U674" s="7">
        <v>1.1506324573757443E-2</v>
      </c>
    </row>
    <row r="675" spans="19:21" x14ac:dyDescent="0.25">
      <c r="S675" s="11">
        <v>657</v>
      </c>
      <c r="T675" s="4">
        <v>356.54443619539529</v>
      </c>
      <c r="U675" s="7">
        <v>0.30073487357409534</v>
      </c>
    </row>
    <row r="676" spans="19:21" x14ac:dyDescent="0.25">
      <c r="S676" s="11">
        <v>658</v>
      </c>
      <c r="T676" s="4">
        <v>368.92963326256114</v>
      </c>
      <c r="U676" s="7">
        <v>0.34591818343935321</v>
      </c>
    </row>
    <row r="677" spans="19:21" x14ac:dyDescent="0.25">
      <c r="S677" s="11">
        <v>659</v>
      </c>
      <c r="T677" s="4">
        <v>372.68308096528659</v>
      </c>
      <c r="U677" s="7">
        <v>0.35961140040599249</v>
      </c>
    </row>
    <row r="678" spans="19:21" x14ac:dyDescent="0.25">
      <c r="S678" s="11">
        <v>660</v>
      </c>
      <c r="T678" s="4">
        <v>328.22282590636593</v>
      </c>
      <c r="U678" s="7">
        <v>0.19741281203300098</v>
      </c>
    </row>
    <row r="679" spans="19:21" x14ac:dyDescent="0.25">
      <c r="S679" s="11">
        <v>661</v>
      </c>
      <c r="T679" s="4">
        <v>328.86421923129006</v>
      </c>
      <c r="U679" s="7">
        <v>0.19975272420302081</v>
      </c>
    </row>
    <row r="680" spans="19:21" x14ac:dyDescent="0.25">
      <c r="S680" s="11">
        <v>662</v>
      </c>
      <c r="T680" s="4">
        <v>355.30647462115525</v>
      </c>
      <c r="U680" s="7">
        <v>0.29621857874997337</v>
      </c>
    </row>
    <row r="681" spans="19:21" x14ac:dyDescent="0.25">
      <c r="S681" s="11">
        <v>663</v>
      </c>
      <c r="T681" s="4">
        <v>329.06437398987538</v>
      </c>
      <c r="U681" s="7">
        <v>0.20048292287722225</v>
      </c>
    </row>
    <row r="682" spans="19:21" x14ac:dyDescent="0.25">
      <c r="S682" s="11">
        <v>664</v>
      </c>
      <c r="T682" s="4">
        <v>356.42302566198606</v>
      </c>
      <c r="U682" s="7">
        <v>0.30029194725470076</v>
      </c>
    </row>
    <row r="683" spans="19:21" x14ac:dyDescent="0.25">
      <c r="S683" s="11">
        <v>665</v>
      </c>
      <c r="T683" s="4">
        <v>249.5845624962831</v>
      </c>
      <c r="U683" s="7">
        <v>-8.9472976191006914E-2</v>
      </c>
    </row>
    <row r="684" spans="19:21" x14ac:dyDescent="0.25">
      <c r="S684" s="11">
        <v>666</v>
      </c>
      <c r="T684" s="4">
        <v>333.99594246291025</v>
      </c>
      <c r="U684" s="7">
        <v>0.21847412521582665</v>
      </c>
    </row>
    <row r="685" spans="19:21" x14ac:dyDescent="0.25">
      <c r="S685" s="11">
        <v>667</v>
      </c>
      <c r="T685" s="4">
        <v>251.42291747234643</v>
      </c>
      <c r="U685" s="7">
        <v>-8.2766343904467465E-2</v>
      </c>
    </row>
    <row r="686" spans="19:21" x14ac:dyDescent="0.25">
      <c r="S686" s="11">
        <v>668</v>
      </c>
      <c r="T686" s="4">
        <v>339.16759172652422</v>
      </c>
      <c r="U686" s="7">
        <v>0.23734118319843933</v>
      </c>
    </row>
    <row r="687" spans="19:21" x14ac:dyDescent="0.25">
      <c r="S687" s="11">
        <v>669</v>
      </c>
      <c r="T687" s="4">
        <v>296.45996382782369</v>
      </c>
      <c r="U687" s="7">
        <v>8.1536477428126197E-2</v>
      </c>
    </row>
    <row r="688" spans="19:21" x14ac:dyDescent="0.25">
      <c r="S688" s="11">
        <v>670</v>
      </c>
      <c r="T688" s="4">
        <v>289.72469995095696</v>
      </c>
      <c r="U688" s="7">
        <v>5.6965086829947609E-2</v>
      </c>
    </row>
    <row r="689" spans="19:21" x14ac:dyDescent="0.25">
      <c r="S689" s="11">
        <v>671</v>
      </c>
      <c r="T689" s="4">
        <v>259.6406275469804</v>
      </c>
      <c r="U689" s="7">
        <v>-5.2786736904963716E-2</v>
      </c>
    </row>
    <row r="690" spans="19:21" x14ac:dyDescent="0.25">
      <c r="S690" s="11">
        <v>672</v>
      </c>
      <c r="T690" s="4">
        <v>285.48006130193647</v>
      </c>
      <c r="U690" s="7">
        <v>4.1479921571400125E-2</v>
      </c>
    </row>
    <row r="691" spans="19:21" x14ac:dyDescent="0.25">
      <c r="S691" s="11">
        <v>673</v>
      </c>
      <c r="T691" s="4">
        <v>345.62786812414851</v>
      </c>
      <c r="U691" s="7">
        <v>0.2609093726027818</v>
      </c>
    </row>
    <row r="692" spans="19:21" x14ac:dyDescent="0.25">
      <c r="S692" s="11">
        <v>674</v>
      </c>
      <c r="T692" s="4">
        <v>293.59980263387587</v>
      </c>
      <c r="U692" s="7">
        <v>7.1102121899514259E-2</v>
      </c>
    </row>
    <row r="693" spans="19:21" x14ac:dyDescent="0.25">
      <c r="S693" s="11">
        <v>675</v>
      </c>
      <c r="T693" s="4">
        <v>389.80812701507176</v>
      </c>
      <c r="U693" s="7">
        <v>0.4220864872316652</v>
      </c>
    </row>
    <row r="694" spans="19:21" x14ac:dyDescent="0.25">
      <c r="S694" s="11">
        <v>676</v>
      </c>
      <c r="T694" s="4">
        <v>325.34185034215147</v>
      </c>
      <c r="U694" s="7">
        <v>0.1869025221340026</v>
      </c>
    </row>
    <row r="695" spans="19:21" x14ac:dyDescent="0.25">
      <c r="S695" s="11">
        <v>677</v>
      </c>
      <c r="T695" s="4">
        <v>380.69709341690918</v>
      </c>
      <c r="U695" s="7">
        <v>0.38884788375801382</v>
      </c>
    </row>
    <row r="696" spans="19:21" x14ac:dyDescent="0.25">
      <c r="S696" s="11">
        <v>678</v>
      </c>
      <c r="T696" s="4">
        <v>385.62759016512678</v>
      </c>
      <c r="U696" s="7">
        <v>0.40683517626181742</v>
      </c>
    </row>
    <row r="697" spans="19:21" x14ac:dyDescent="0.25">
      <c r="S697" s="11">
        <v>679</v>
      </c>
      <c r="T697" s="4">
        <v>288.09681233677583</v>
      </c>
      <c r="U697" s="7">
        <v>5.1026275352142658E-2</v>
      </c>
    </row>
    <row r="698" spans="19:21" x14ac:dyDescent="0.25">
      <c r="S698" s="11">
        <v>680</v>
      </c>
      <c r="T698" s="4">
        <v>286.84078150562726</v>
      </c>
      <c r="U698" s="7">
        <v>4.6444060799048836E-2</v>
      </c>
    </row>
    <row r="699" spans="19:21" x14ac:dyDescent="0.25">
      <c r="S699" s="11">
        <v>681</v>
      </c>
      <c r="T699" s="4">
        <v>195.31902183280803</v>
      </c>
      <c r="U699" s="7">
        <v>-0.28744291768703067</v>
      </c>
    </row>
    <row r="700" spans="19:21" x14ac:dyDescent="0.25">
      <c r="S700" s="11">
        <v>682</v>
      </c>
      <c r="T700" s="4">
        <v>227.7816317737464</v>
      </c>
      <c r="U700" s="7">
        <v>-0.16901378361334363</v>
      </c>
    </row>
    <row r="701" spans="19:21" x14ac:dyDescent="0.25">
      <c r="S701" s="11">
        <v>683</v>
      </c>
      <c r="T701" s="4">
        <v>286.13663701397951</v>
      </c>
      <c r="U701" s="7">
        <v>4.3875221677353915E-2</v>
      </c>
    </row>
    <row r="702" spans="19:21" x14ac:dyDescent="0.25">
      <c r="S702" s="11">
        <v>684</v>
      </c>
      <c r="T702" s="4">
        <v>333.95951754636053</v>
      </c>
      <c r="U702" s="7">
        <v>0.21834124091189855</v>
      </c>
    </row>
    <row r="703" spans="19:21" x14ac:dyDescent="0.25">
      <c r="S703" s="11">
        <v>685</v>
      </c>
      <c r="T703" s="4">
        <v>246.06177375430627</v>
      </c>
      <c r="U703" s="7">
        <v>-0.10232470995473986</v>
      </c>
    </row>
    <row r="704" spans="19:21" x14ac:dyDescent="0.25">
      <c r="S704" s="11">
        <v>686</v>
      </c>
      <c r="T704" s="4">
        <v>334.67395478156902</v>
      </c>
      <c r="U704" s="7">
        <v>0.22094762971642412</v>
      </c>
    </row>
    <row r="705" spans="19:21" x14ac:dyDescent="0.25">
      <c r="S705" s="11">
        <v>687</v>
      </c>
      <c r="T705" s="4">
        <v>278.23491498347113</v>
      </c>
      <c r="U705" s="7">
        <v>1.5048392920619769E-2</v>
      </c>
    </row>
    <row r="706" spans="19:21" x14ac:dyDescent="0.25">
      <c r="S706" s="11">
        <v>688</v>
      </c>
      <c r="T706" s="4">
        <v>375.16619367779174</v>
      </c>
      <c r="U706" s="7">
        <v>0.36867021880920703</v>
      </c>
    </row>
    <row r="707" spans="19:21" x14ac:dyDescent="0.25">
      <c r="S707" s="11">
        <v>689</v>
      </c>
      <c r="T707" s="4">
        <v>296.40437023261234</v>
      </c>
      <c r="U707" s="7">
        <v>8.1333662517282468E-2</v>
      </c>
    </row>
    <row r="708" spans="19:21" x14ac:dyDescent="0.25">
      <c r="S708" s="11">
        <v>690</v>
      </c>
      <c r="T708" s="4">
        <v>291.43037426995284</v>
      </c>
      <c r="U708" s="7">
        <v>6.3187677465079028E-2</v>
      </c>
    </row>
    <row r="709" spans="19:21" x14ac:dyDescent="0.25">
      <c r="S709" s="11">
        <v>691</v>
      </c>
      <c r="T709" s="4">
        <v>361.7507530430056</v>
      </c>
      <c r="U709" s="7">
        <v>0.31972840481195708</v>
      </c>
    </row>
    <row r="710" spans="19:21" x14ac:dyDescent="0.25">
      <c r="S710" s="11">
        <v>692</v>
      </c>
      <c r="T710" s="4">
        <v>292.75251789640754</v>
      </c>
      <c r="U710" s="7">
        <v>6.8011082763881348E-2</v>
      </c>
    </row>
    <row r="711" spans="19:21" x14ac:dyDescent="0.25">
      <c r="S711" s="11">
        <v>693</v>
      </c>
      <c r="T711" s="4">
        <v>302.95163950040666</v>
      </c>
      <c r="U711" s="7">
        <v>0.10521921673928958</v>
      </c>
    </row>
    <row r="712" spans="19:21" x14ac:dyDescent="0.25">
      <c r="S712" s="11">
        <v>694</v>
      </c>
      <c r="T712" s="4">
        <v>406.54547739837375</v>
      </c>
      <c r="U712" s="7">
        <v>0.4831471941861798</v>
      </c>
    </row>
    <row r="713" spans="19:21" x14ac:dyDescent="0.25">
      <c r="S713" s="11">
        <v>695</v>
      </c>
      <c r="T713" s="4">
        <v>247.66123441000977</v>
      </c>
      <c r="U713" s="7">
        <v>-9.6489604866623724E-2</v>
      </c>
    </row>
    <row r="714" spans="19:21" x14ac:dyDescent="0.25">
      <c r="S714" s="11">
        <v>696</v>
      </c>
      <c r="T714" s="4">
        <v>244.69558063335361</v>
      </c>
      <c r="U714" s="7">
        <v>-0.10730881531737768</v>
      </c>
    </row>
    <row r="715" spans="19:21" x14ac:dyDescent="0.25">
      <c r="S715" s="11">
        <v>697</v>
      </c>
      <c r="T715" s="4">
        <v>319.14150828781055</v>
      </c>
      <c r="U715" s="7">
        <v>0.16428261751782336</v>
      </c>
    </row>
    <row r="716" spans="19:21" x14ac:dyDescent="0.25">
      <c r="S716" s="11">
        <v>698</v>
      </c>
      <c r="T716" s="4">
        <v>331.65486841598909</v>
      </c>
      <c r="U716" s="7">
        <v>0.20993348807409085</v>
      </c>
    </row>
    <row r="717" spans="19:21" x14ac:dyDescent="0.25">
      <c r="S717" s="11">
        <v>699</v>
      </c>
      <c r="T717" s="4">
        <v>300.27881655654301</v>
      </c>
      <c r="U717" s="7">
        <v>9.5468303077388628E-2</v>
      </c>
    </row>
    <row r="718" spans="19:21" x14ac:dyDescent="0.25">
      <c r="S718" s="11">
        <v>700</v>
      </c>
      <c r="T718" s="4">
        <v>300.2693262018887</v>
      </c>
      <c r="U718" s="7">
        <v>9.5433680646049623E-2</v>
      </c>
    </row>
    <row r="719" spans="19:21" x14ac:dyDescent="0.25">
      <c r="S719" s="11">
        <v>701</v>
      </c>
      <c r="T719" s="4">
        <v>275.46247414232442</v>
      </c>
      <c r="U719" s="7">
        <v>4.9340561903046254E-3</v>
      </c>
    </row>
    <row r="720" spans="19:21" x14ac:dyDescent="0.25">
      <c r="S720" s="11">
        <v>702</v>
      </c>
      <c r="T720" s="4">
        <v>305.33441366266931</v>
      </c>
      <c r="U720" s="7">
        <v>0.11391198300926386</v>
      </c>
    </row>
    <row r="721" spans="19:21" x14ac:dyDescent="0.25">
      <c r="S721" s="11">
        <v>703</v>
      </c>
      <c r="T721" s="4">
        <v>370.3161202092918</v>
      </c>
      <c r="U721" s="7">
        <v>0.35097632413736002</v>
      </c>
    </row>
    <row r="722" spans="19:21" x14ac:dyDescent="0.25">
      <c r="S722" s="11">
        <v>704</v>
      </c>
      <c r="T722" s="4">
        <v>430.06751236567072</v>
      </c>
      <c r="U722" s="7">
        <v>0.56895958690186688</v>
      </c>
    </row>
    <row r="723" spans="19:21" x14ac:dyDescent="0.25">
      <c r="S723" s="11">
        <v>705</v>
      </c>
      <c r="T723" s="4">
        <v>311.95170691413108</v>
      </c>
      <c r="U723" s="7">
        <v>0.13805299665875403</v>
      </c>
    </row>
    <row r="724" spans="19:21" x14ac:dyDescent="0.25">
      <c r="S724" s="11">
        <v>706</v>
      </c>
      <c r="T724" s="4">
        <v>284.18694155757134</v>
      </c>
      <c r="U724" s="7">
        <v>3.6762400341364243E-2</v>
      </c>
    </row>
    <row r="725" spans="19:21" x14ac:dyDescent="0.25">
      <c r="S725" s="11">
        <v>707</v>
      </c>
      <c r="T725" s="4">
        <v>380.69011441216747</v>
      </c>
      <c r="U725" s="7">
        <v>0.38882242315919679</v>
      </c>
    </row>
    <row r="726" spans="19:21" x14ac:dyDescent="0.25">
      <c r="S726" s="11">
        <v>708</v>
      </c>
      <c r="T726" s="4">
        <v>459.40011886377499</v>
      </c>
      <c r="U726" s="7">
        <v>0.67596993493041113</v>
      </c>
    </row>
    <row r="727" spans="19:21" x14ac:dyDescent="0.25">
      <c r="S727" s="11">
        <v>709</v>
      </c>
      <c r="T727" s="4">
        <v>358.87021760530638</v>
      </c>
      <c r="U727" s="7">
        <v>0.30921972056950264</v>
      </c>
    </row>
    <row r="728" spans="19:21" x14ac:dyDescent="0.25">
      <c r="S728" s="11">
        <v>710</v>
      </c>
      <c r="T728" s="4">
        <v>488.14262518562828</v>
      </c>
      <c r="U728" s="7">
        <v>0.78082749693782882</v>
      </c>
    </row>
    <row r="729" spans="19:21" x14ac:dyDescent="0.25">
      <c r="S729" s="11">
        <v>711</v>
      </c>
      <c r="T729" s="4">
        <v>348.66264554537594</v>
      </c>
      <c r="U729" s="7">
        <v>0.27198075789053999</v>
      </c>
    </row>
    <row r="730" spans="19:21" x14ac:dyDescent="0.25">
      <c r="S730" s="11">
        <v>712</v>
      </c>
      <c r="T730" s="4">
        <v>414.3818631495588</v>
      </c>
      <c r="U730" s="7">
        <v>0.51173566505986212</v>
      </c>
    </row>
    <row r="731" spans="19:21" x14ac:dyDescent="0.25">
      <c r="S731" s="11">
        <v>713</v>
      </c>
      <c r="T731" s="4">
        <v>321.98954053370738</v>
      </c>
      <c r="U731" s="7">
        <v>0.17467272457665661</v>
      </c>
    </row>
    <row r="732" spans="19:21" x14ac:dyDescent="0.25">
      <c r="S732" s="11">
        <v>714</v>
      </c>
      <c r="T732" s="4">
        <v>251.43808922154835</v>
      </c>
      <c r="U732" s="7">
        <v>-8.2710994777467683E-2</v>
      </c>
    </row>
    <row r="733" spans="19:21" x14ac:dyDescent="0.25">
      <c r="S733" s="11">
        <v>715</v>
      </c>
      <c r="T733" s="4">
        <v>396.52407382575848</v>
      </c>
      <c r="U733" s="7">
        <v>0.44658740587996948</v>
      </c>
    </row>
    <row r="734" spans="19:21" x14ac:dyDescent="0.25">
      <c r="S734" s="11">
        <v>716</v>
      </c>
      <c r="T734" s="4">
        <v>268.08367138616126</v>
      </c>
      <c r="U734" s="7">
        <v>-2.1985073925937626E-2</v>
      </c>
    </row>
    <row r="735" spans="19:21" x14ac:dyDescent="0.25">
      <c r="S735" s="11">
        <v>717</v>
      </c>
      <c r="T735" s="4">
        <v>229.31997155824644</v>
      </c>
      <c r="U735" s="7">
        <v>-0.16340165788097327</v>
      </c>
    </row>
    <row r="736" spans="19:21" x14ac:dyDescent="0.25">
      <c r="S736" s="11">
        <v>718</v>
      </c>
      <c r="T736" s="4">
        <v>267.00322917796746</v>
      </c>
      <c r="U736" s="7">
        <v>-2.5926711254724566E-2</v>
      </c>
    </row>
    <row r="737" spans="19:21" x14ac:dyDescent="0.25">
      <c r="S737" s="11">
        <v>719</v>
      </c>
      <c r="T737" s="4">
        <v>313.984162793179</v>
      </c>
      <c r="U737" s="7">
        <v>0.14546774212242886</v>
      </c>
    </row>
    <row r="738" spans="19:21" x14ac:dyDescent="0.25">
      <c r="S738" s="11">
        <v>720</v>
      </c>
      <c r="T738" s="4">
        <v>348.19385372499312</v>
      </c>
      <c r="U738" s="7">
        <v>0.2702705254277229</v>
      </c>
    </row>
    <row r="739" spans="19:21" x14ac:dyDescent="0.25">
      <c r="S739" s="11">
        <v>721</v>
      </c>
      <c r="T739" s="4">
        <v>401.14537071146287</v>
      </c>
      <c r="U739" s="7">
        <v>0.46344668458452021</v>
      </c>
    </row>
    <row r="740" spans="19:21" x14ac:dyDescent="0.25">
      <c r="S740" s="11">
        <v>722</v>
      </c>
      <c r="T740" s="4">
        <v>241.9399494504764</v>
      </c>
      <c r="U740" s="7">
        <v>-0.11736182754924518</v>
      </c>
    </row>
    <row r="741" spans="19:21" x14ac:dyDescent="0.25">
      <c r="S741" s="11">
        <v>723</v>
      </c>
      <c r="T741" s="4">
        <v>319.08168324428812</v>
      </c>
      <c r="U741" s="7">
        <v>0.16406436556232196</v>
      </c>
    </row>
    <row r="742" spans="19:21" x14ac:dyDescent="0.25">
      <c r="S742" s="11">
        <v>724</v>
      </c>
      <c r="T742" s="4">
        <v>235.02530532630706</v>
      </c>
      <c r="U742" s="7">
        <v>-0.14258762786360568</v>
      </c>
    </row>
    <row r="743" spans="19:21" x14ac:dyDescent="0.25">
      <c r="S743" s="11">
        <v>725</v>
      </c>
      <c r="T743" s="4">
        <v>285.72170530301918</v>
      </c>
      <c r="U743" s="7">
        <v>4.2361480073763058E-2</v>
      </c>
    </row>
    <row r="744" spans="19:21" x14ac:dyDescent="0.25">
      <c r="S744" s="11">
        <v>726</v>
      </c>
      <c r="T744" s="4">
        <v>371.43895505057321</v>
      </c>
      <c r="U744" s="7">
        <v>0.35507261701715809</v>
      </c>
    </row>
    <row r="745" spans="19:21" x14ac:dyDescent="0.25">
      <c r="S745" s="11">
        <v>727</v>
      </c>
      <c r="T745" s="4">
        <v>286.53548407315998</v>
      </c>
      <c r="U745" s="7">
        <v>4.5330283729743348E-2</v>
      </c>
    </row>
    <row r="746" spans="19:21" x14ac:dyDescent="0.25">
      <c r="S746" s="11">
        <v>728</v>
      </c>
      <c r="T746" s="4">
        <v>359.75404143128515</v>
      </c>
      <c r="U746" s="7">
        <v>0.31244406052783602</v>
      </c>
    </row>
    <row r="747" spans="19:21" x14ac:dyDescent="0.25">
      <c r="S747" s="11">
        <v>729</v>
      </c>
      <c r="T747" s="4">
        <v>255.03371876822547</v>
      </c>
      <c r="U747" s="7">
        <v>-6.9593525343017548E-2</v>
      </c>
    </row>
    <row r="748" spans="19:21" x14ac:dyDescent="0.25">
      <c r="S748" s="11">
        <v>730</v>
      </c>
      <c r="T748" s="4">
        <v>287.81005240989583</v>
      </c>
      <c r="U748" s="7">
        <v>4.9980126262799018E-2</v>
      </c>
    </row>
    <row r="749" spans="19:21" x14ac:dyDescent="0.25">
      <c r="S749" s="11">
        <v>731</v>
      </c>
      <c r="T749" s="4">
        <v>329.46712615412196</v>
      </c>
      <c r="U749" s="7">
        <v>0.20195223141848873</v>
      </c>
    </row>
    <row r="750" spans="19:21" x14ac:dyDescent="0.25">
      <c r="S750" s="11">
        <v>732</v>
      </c>
      <c r="T750" s="4">
        <v>364.18368963415867</v>
      </c>
      <c r="U750" s="7">
        <v>0.32860417217233473</v>
      </c>
    </row>
    <row r="751" spans="19:21" x14ac:dyDescent="0.25">
      <c r="S751" s="11">
        <v>733</v>
      </c>
      <c r="T751" s="4">
        <v>314.75194898409029</v>
      </c>
      <c r="U751" s="7">
        <v>0.14826875701028874</v>
      </c>
    </row>
    <row r="752" spans="19:21" x14ac:dyDescent="0.25">
      <c r="S752" s="11">
        <v>734</v>
      </c>
      <c r="T752" s="4">
        <v>330.82832061282028</v>
      </c>
      <c r="U752" s="7">
        <v>0.20691810080923823</v>
      </c>
    </row>
    <row r="753" spans="19:21" x14ac:dyDescent="0.25">
      <c r="S753" s="11">
        <v>735</v>
      </c>
      <c r="T753" s="4">
        <v>277.46296244087466</v>
      </c>
      <c r="U753" s="7">
        <v>1.2232178471689004E-2</v>
      </c>
    </row>
    <row r="754" spans="19:21" x14ac:dyDescent="0.25">
      <c r="S754" s="11">
        <v>736</v>
      </c>
      <c r="T754" s="4">
        <v>362.85006189238351</v>
      </c>
      <c r="U754" s="7">
        <v>0.32373887086346165</v>
      </c>
    </row>
    <row r="755" spans="19:21" x14ac:dyDescent="0.25">
      <c r="S755" s="11">
        <v>737</v>
      </c>
      <c r="T755" s="4">
        <v>330.68951417854061</v>
      </c>
      <c r="U755" s="7">
        <v>0.20641171127846691</v>
      </c>
    </row>
    <row r="756" spans="19:21" x14ac:dyDescent="0.25">
      <c r="S756" s="11">
        <v>738</v>
      </c>
      <c r="T756" s="4">
        <v>401.05467605913856</v>
      </c>
      <c r="U756" s="7">
        <v>0.46311581503461574</v>
      </c>
    </row>
    <row r="757" spans="19:21" x14ac:dyDescent="0.25">
      <c r="S757" s="11">
        <v>739</v>
      </c>
      <c r="T757" s="4">
        <v>346.53147472610448</v>
      </c>
      <c r="U757" s="7">
        <v>0.26420588349970608</v>
      </c>
    </row>
    <row r="758" spans="19:21" x14ac:dyDescent="0.25">
      <c r="S758" s="11">
        <v>740</v>
      </c>
      <c r="T758" s="4">
        <v>351.07780588892842</v>
      </c>
      <c r="U758" s="7">
        <v>0.28079167446984199</v>
      </c>
    </row>
    <row r="759" spans="19:21" x14ac:dyDescent="0.25">
      <c r="S759" s="11">
        <v>741</v>
      </c>
      <c r="T759" s="4">
        <v>316.1619185150364</v>
      </c>
      <c r="U759" s="7">
        <v>0.15341256617794463</v>
      </c>
    </row>
    <row r="760" spans="19:21" x14ac:dyDescent="0.25">
      <c r="S760" s="11">
        <v>742</v>
      </c>
      <c r="T760" s="4">
        <v>413.86384295889349</v>
      </c>
      <c r="U760" s="7">
        <v>0.50984583911164671</v>
      </c>
    </row>
    <row r="761" spans="19:21" x14ac:dyDescent="0.25">
      <c r="S761" s="11">
        <v>743</v>
      </c>
      <c r="T761" s="4">
        <v>444.83780489402528</v>
      </c>
      <c r="U761" s="7">
        <v>0.62284413153122919</v>
      </c>
    </row>
    <row r="762" spans="19:21" x14ac:dyDescent="0.25">
      <c r="S762" s="11">
        <v>744</v>
      </c>
      <c r="T762" s="4">
        <v>427.38854354676187</v>
      </c>
      <c r="U762" s="7">
        <v>0.55918625204028261</v>
      </c>
    </row>
    <row r="763" spans="19:21" x14ac:dyDescent="0.25">
      <c r="S763" s="11">
        <v>745</v>
      </c>
      <c r="T763" s="4">
        <v>258.65647700421249</v>
      </c>
      <c r="U763" s="7">
        <v>-5.6377085826082696E-2</v>
      </c>
    </row>
    <row r="764" spans="19:21" x14ac:dyDescent="0.25">
      <c r="S764" s="11">
        <v>746</v>
      </c>
      <c r="T764" s="4">
        <v>379.84578458426665</v>
      </c>
      <c r="U764" s="7">
        <v>0.38574216403730843</v>
      </c>
    </row>
    <row r="765" spans="19:21" x14ac:dyDescent="0.25">
      <c r="S765" s="11">
        <v>747</v>
      </c>
      <c r="T765" s="4">
        <v>232.50666541120074</v>
      </c>
      <c r="U765" s="7">
        <v>-0.15177605555725537</v>
      </c>
    </row>
    <row r="766" spans="19:21" x14ac:dyDescent="0.25">
      <c r="S766" s="11">
        <v>748</v>
      </c>
      <c r="T766" s="4">
        <v>275.17001680597554</v>
      </c>
      <c r="U766" s="7">
        <v>3.8671219801376111E-3</v>
      </c>
    </row>
    <row r="767" spans="19:21" x14ac:dyDescent="0.25">
      <c r="S767" s="11">
        <v>749</v>
      </c>
      <c r="T767" s="4">
        <v>310.31982058833296</v>
      </c>
      <c r="U767" s="7">
        <v>0.13209959719941966</v>
      </c>
    </row>
    <row r="768" spans="19:21" x14ac:dyDescent="0.25">
      <c r="S768" s="11">
        <v>750</v>
      </c>
      <c r="T768" s="4">
        <v>339.18274671681962</v>
      </c>
      <c r="U768" s="7">
        <v>0.23739647118609164</v>
      </c>
    </row>
    <row r="769" spans="19:21" x14ac:dyDescent="0.25">
      <c r="S769" s="11">
        <v>751</v>
      </c>
      <c r="T769" s="4">
        <v>442.84672876945763</v>
      </c>
      <c r="U769" s="7">
        <v>0.61558034646476822</v>
      </c>
    </row>
    <row r="770" spans="19:21" x14ac:dyDescent="0.25">
      <c r="S770" s="11">
        <v>752</v>
      </c>
      <c r="T770" s="4">
        <v>323.3832200451003</v>
      </c>
      <c r="U770" s="7">
        <v>0.17975710497647035</v>
      </c>
    </row>
    <row r="771" spans="19:21" x14ac:dyDescent="0.25">
      <c r="S771" s="11">
        <v>753</v>
      </c>
      <c r="T771" s="4">
        <v>267.59607030149385</v>
      </c>
      <c r="U771" s="7">
        <v>-2.3763925790763363E-2</v>
      </c>
    </row>
    <row r="772" spans="19:21" x14ac:dyDescent="0.25">
      <c r="S772" s="11">
        <v>754</v>
      </c>
      <c r="T772" s="4">
        <v>239.4434608266638</v>
      </c>
      <c r="U772" s="7">
        <v>-0.12646944355673351</v>
      </c>
    </row>
    <row r="773" spans="19:21" x14ac:dyDescent="0.25">
      <c r="S773" s="11">
        <v>755</v>
      </c>
      <c r="T773" s="4">
        <v>438.80758609327705</v>
      </c>
      <c r="U773" s="7">
        <v>0.60084486554039263</v>
      </c>
    </row>
    <row r="774" spans="19:21" x14ac:dyDescent="0.25">
      <c r="S774" s="11">
        <v>756</v>
      </c>
      <c r="T774" s="4">
        <v>458.32277772817457</v>
      </c>
      <c r="U774" s="7">
        <v>0.67203961084299935</v>
      </c>
    </row>
    <row r="775" spans="19:21" x14ac:dyDescent="0.25">
      <c r="S775" s="11">
        <v>757</v>
      </c>
      <c r="T775" s="4">
        <v>245.3501130854502</v>
      </c>
      <c r="U775" s="7">
        <v>-0.10492096937196671</v>
      </c>
    </row>
    <row r="776" spans="19:21" x14ac:dyDescent="0.25">
      <c r="S776" s="11">
        <v>758</v>
      </c>
      <c r="T776" s="4">
        <v>246.50366498772445</v>
      </c>
      <c r="U776" s="7">
        <v>-0.10071261541817356</v>
      </c>
    </row>
    <row r="777" spans="19:21" x14ac:dyDescent="0.25">
      <c r="S777" s="11">
        <v>759</v>
      </c>
      <c r="T777" s="4">
        <v>309.79550188352874</v>
      </c>
      <c r="U777" s="7">
        <v>0.13018679319809112</v>
      </c>
    </row>
    <row r="778" spans="19:21" x14ac:dyDescent="0.25">
      <c r="S778" s="11">
        <v>760</v>
      </c>
      <c r="T778" s="4">
        <v>420.67448409333031</v>
      </c>
      <c r="U778" s="7">
        <v>0.53469221879293083</v>
      </c>
    </row>
    <row r="779" spans="19:21" x14ac:dyDescent="0.25">
      <c r="S779" s="11">
        <v>761</v>
      </c>
      <c r="T779" s="4">
        <v>301.25692627887241</v>
      </c>
      <c r="U779" s="7">
        <v>9.9036614055935113E-2</v>
      </c>
    </row>
    <row r="780" spans="19:21" x14ac:dyDescent="0.25">
      <c r="S780" s="11">
        <v>762</v>
      </c>
      <c r="T780" s="4">
        <v>349.45210549013825</v>
      </c>
      <c r="U780" s="7">
        <v>0.2748608423265777</v>
      </c>
    </row>
    <row r="781" spans="19:21" x14ac:dyDescent="0.25">
      <c r="S781" s="11">
        <v>763</v>
      </c>
      <c r="T781" s="4">
        <v>368.21597366524344</v>
      </c>
      <c r="U781" s="7">
        <v>0.34331463159039588</v>
      </c>
    </row>
    <row r="782" spans="19:21" x14ac:dyDescent="0.25">
      <c r="S782" s="11">
        <v>764</v>
      </c>
      <c r="T782" s="4">
        <v>292.17977404983571</v>
      </c>
      <c r="U782" s="7">
        <v>6.5921615591681082E-2</v>
      </c>
    </row>
    <row r="783" spans="19:21" x14ac:dyDescent="0.25">
      <c r="S783" s="11">
        <v>765</v>
      </c>
      <c r="T783" s="4">
        <v>359.86414138186029</v>
      </c>
      <c r="U783" s="7">
        <v>0.31284572391324761</v>
      </c>
    </row>
    <row r="784" spans="19:21" x14ac:dyDescent="0.25">
      <c r="S784" s="11">
        <v>766</v>
      </c>
      <c r="T784" s="4">
        <v>384.87183592467676</v>
      </c>
      <c r="U784" s="7">
        <v>0.40407805597999613</v>
      </c>
    </row>
    <row r="785" spans="19:21" x14ac:dyDescent="0.25">
      <c r="S785" s="11">
        <v>767</v>
      </c>
      <c r="T785" s="4">
        <v>321.6112523917871</v>
      </c>
      <c r="U785" s="7">
        <v>0.17329266495854623</v>
      </c>
    </row>
    <row r="786" spans="19:21" x14ac:dyDescent="0.25">
      <c r="S786" s="11">
        <v>768</v>
      </c>
      <c r="T786" s="4">
        <v>360.56000664816776</v>
      </c>
      <c r="U786" s="7">
        <v>0.31538435900976891</v>
      </c>
    </row>
    <row r="787" spans="19:21" x14ac:dyDescent="0.25">
      <c r="S787" s="11">
        <v>769</v>
      </c>
      <c r="T787" s="4">
        <v>309.90349784360001</v>
      </c>
      <c r="U787" s="7">
        <v>0.130580780867535</v>
      </c>
    </row>
    <row r="788" spans="19:21" x14ac:dyDescent="0.25">
      <c r="S788" s="11">
        <v>770</v>
      </c>
      <c r="T788" s="4">
        <v>593.25344112340656</v>
      </c>
      <c r="U788" s="7">
        <v>1.1642896688315147</v>
      </c>
    </row>
    <row r="789" spans="19:21" x14ac:dyDescent="0.25">
      <c r="S789" s="11">
        <v>771</v>
      </c>
      <c r="T789" s="4">
        <v>317.67880059924266</v>
      </c>
      <c r="U789" s="7">
        <v>0.1589464105623386</v>
      </c>
    </row>
    <row r="790" spans="19:21" x14ac:dyDescent="0.25">
      <c r="S790" s="11">
        <v>772</v>
      </c>
      <c r="T790" s="4">
        <v>306.55483836543033</v>
      </c>
      <c r="U790" s="7">
        <v>0.11836430033720147</v>
      </c>
    </row>
    <row r="791" spans="19:21" x14ac:dyDescent="0.25">
      <c r="S791" s="11">
        <v>773</v>
      </c>
      <c r="T791" s="4">
        <v>260.14708879743671</v>
      </c>
      <c r="U791" s="7">
        <v>-5.0939079940765741E-2</v>
      </c>
    </row>
    <row r="792" spans="19:21" x14ac:dyDescent="0.25">
      <c r="S792" s="11">
        <v>774</v>
      </c>
      <c r="T792" s="4">
        <v>316.27719092231007</v>
      </c>
      <c r="U792" s="7">
        <v>0.15383309956699875</v>
      </c>
    </row>
    <row r="793" spans="19:21" x14ac:dyDescent="0.25">
      <c r="S793" s="11">
        <v>775</v>
      </c>
      <c r="T793" s="4">
        <v>243.02059664174564</v>
      </c>
      <c r="U793" s="7">
        <v>-0.11341944240726121</v>
      </c>
    </row>
    <row r="794" spans="19:21" x14ac:dyDescent="0.25">
      <c r="S794" s="11">
        <v>776</v>
      </c>
      <c r="T794" s="4">
        <v>431.06986741344161</v>
      </c>
      <c r="U794" s="7">
        <v>0.57261634896005842</v>
      </c>
    </row>
    <row r="795" spans="19:21" x14ac:dyDescent="0.25">
      <c r="S795" s="11">
        <v>777</v>
      </c>
      <c r="T795" s="4">
        <v>304.08054559607405</v>
      </c>
      <c r="U795" s="7">
        <v>0.10933765858988731</v>
      </c>
    </row>
    <row r="796" spans="19:21" x14ac:dyDescent="0.25">
      <c r="S796" s="11">
        <v>778</v>
      </c>
      <c r="T796" s="4">
        <v>334.29735864707629</v>
      </c>
      <c r="U796" s="7">
        <v>0.21957374282979925</v>
      </c>
    </row>
    <row r="797" spans="19:21" x14ac:dyDescent="0.25">
      <c r="S797" s="11">
        <v>779</v>
      </c>
      <c r="T797" s="4">
        <v>276.45287318700525</v>
      </c>
      <c r="U797" s="7">
        <v>8.5472007114122395E-3</v>
      </c>
    </row>
    <row r="798" spans="19:21" x14ac:dyDescent="0.25">
      <c r="S798" s="11">
        <v>780</v>
      </c>
      <c r="T798" s="4">
        <v>348.33649486332024</v>
      </c>
      <c r="U798" s="7">
        <v>0.2707909046124557</v>
      </c>
    </row>
    <row r="799" spans="19:21" x14ac:dyDescent="0.25">
      <c r="S799" s="11">
        <v>781</v>
      </c>
      <c r="T799" s="4">
        <v>420.25618304827378</v>
      </c>
      <c r="U799" s="7">
        <v>0.53316618528427906</v>
      </c>
    </row>
    <row r="800" spans="19:21" x14ac:dyDescent="0.25">
      <c r="S800" s="11">
        <v>782</v>
      </c>
      <c r="T800" s="4">
        <v>355.2083762307181</v>
      </c>
      <c r="U800" s="7">
        <v>0.29586069910152157</v>
      </c>
    </row>
    <row r="801" spans="19:21" x14ac:dyDescent="0.25">
      <c r="S801" s="11">
        <v>783</v>
      </c>
      <c r="T801" s="4">
        <v>296.09282062717489</v>
      </c>
      <c r="U801" s="7">
        <v>8.0197076455345906E-2</v>
      </c>
    </row>
    <row r="802" spans="19:21" x14ac:dyDescent="0.25">
      <c r="S802" s="11">
        <v>784</v>
      </c>
      <c r="T802" s="4">
        <v>333.98773474832899</v>
      </c>
      <c r="U802" s="7">
        <v>0.21844418207409055</v>
      </c>
    </row>
    <row r="803" spans="19:21" x14ac:dyDescent="0.25">
      <c r="S803" s="11">
        <v>785</v>
      </c>
      <c r="T803" s="4">
        <v>380.34023631917557</v>
      </c>
      <c r="U803" s="7">
        <v>0.38754600824185759</v>
      </c>
    </row>
    <row r="804" spans="19:21" x14ac:dyDescent="0.25">
      <c r="S804" s="11">
        <v>786</v>
      </c>
      <c r="T804" s="4">
        <v>253.3942179662576</v>
      </c>
      <c r="U804" s="7">
        <v>-7.5574703709249569E-2</v>
      </c>
    </row>
    <row r="805" spans="19:21" x14ac:dyDescent="0.25">
      <c r="S805" s="11">
        <v>787</v>
      </c>
      <c r="T805" s="4">
        <v>386.9383503513298</v>
      </c>
      <c r="U805" s="7">
        <v>0.41161705283035932</v>
      </c>
    </row>
    <row r="806" spans="19:21" x14ac:dyDescent="0.25">
      <c r="S806" s="11">
        <v>788</v>
      </c>
      <c r="T806" s="4">
        <v>382.53069276259453</v>
      </c>
      <c r="U806" s="7">
        <v>0.39553716669437278</v>
      </c>
    </row>
    <row r="807" spans="19:21" x14ac:dyDescent="0.25">
      <c r="S807" s="11">
        <v>789</v>
      </c>
      <c r="T807" s="4">
        <v>271.78365040982828</v>
      </c>
      <c r="U807" s="7">
        <v>-8.4869198138401991E-3</v>
      </c>
    </row>
    <row r="808" spans="19:21" x14ac:dyDescent="0.25">
      <c r="S808" s="11">
        <v>790</v>
      </c>
      <c r="T808" s="4">
        <v>321.45083421315024</v>
      </c>
      <c r="U808" s="7">
        <v>0.17270743210079975</v>
      </c>
    </row>
    <row r="809" spans="19:21" x14ac:dyDescent="0.25">
      <c r="S809" s="11">
        <v>791</v>
      </c>
      <c r="T809" s="4">
        <v>311.05842126071263</v>
      </c>
      <c r="U809" s="7">
        <v>0.134794138341223</v>
      </c>
    </row>
    <row r="810" spans="19:21" x14ac:dyDescent="0.25">
      <c r="S810" s="11">
        <v>792</v>
      </c>
      <c r="T810" s="4">
        <v>288.09871307805804</v>
      </c>
      <c r="U810" s="7">
        <v>5.1033209580307215E-2</v>
      </c>
    </row>
    <row r="811" spans="19:21" x14ac:dyDescent="0.25">
      <c r="S811" s="11">
        <v>793</v>
      </c>
      <c r="T811" s="4">
        <v>302.38506839896633</v>
      </c>
      <c r="U811" s="7">
        <v>0.1031522687934272</v>
      </c>
    </row>
    <row r="812" spans="19:21" x14ac:dyDescent="0.25">
      <c r="S812" s="11">
        <v>794</v>
      </c>
      <c r="T812" s="4">
        <v>268.99580439167158</v>
      </c>
      <c r="U812" s="7">
        <v>-1.8657457255585097E-2</v>
      </c>
    </row>
    <row r="813" spans="19:21" x14ac:dyDescent="0.25">
      <c r="S813" s="11">
        <v>795</v>
      </c>
      <c r="T813" s="4">
        <v>332.14306254309804</v>
      </c>
      <c r="U813" s="7">
        <v>0.21171450345882326</v>
      </c>
    </row>
    <row r="814" spans="19:21" x14ac:dyDescent="0.25">
      <c r="S814" s="11">
        <v>796</v>
      </c>
      <c r="T814" s="4">
        <v>295.56272499665903</v>
      </c>
      <c r="U814" s="7">
        <v>7.8263197244387239E-2</v>
      </c>
    </row>
    <row r="815" spans="19:21" x14ac:dyDescent="0.25">
      <c r="S815" s="11">
        <v>797</v>
      </c>
      <c r="T815" s="4">
        <v>297.26038528714014</v>
      </c>
      <c r="U815" s="7">
        <v>8.4456551337565688E-2</v>
      </c>
    </row>
    <row r="816" spans="19:21" x14ac:dyDescent="0.25">
      <c r="S816" s="11">
        <v>798</v>
      </c>
      <c r="T816" s="4">
        <v>395.05522176906555</v>
      </c>
      <c r="U816" s="7">
        <v>0.44122878322230319</v>
      </c>
    </row>
    <row r="817" spans="19:21" x14ac:dyDescent="0.25">
      <c r="S817" s="11">
        <v>799</v>
      </c>
      <c r="T817" s="4">
        <v>228.34987798362263</v>
      </c>
      <c r="U817" s="7">
        <v>-0.1669407245863973</v>
      </c>
    </row>
    <row r="818" spans="19:21" x14ac:dyDescent="0.25">
      <c r="S818" s="11">
        <v>800</v>
      </c>
      <c r="T818" s="4">
        <v>289.81844492823853</v>
      </c>
      <c r="U818" s="7">
        <v>5.7307084485201276E-2</v>
      </c>
    </row>
    <row r="819" spans="19:21" x14ac:dyDescent="0.25">
      <c r="S819" s="11">
        <v>801</v>
      </c>
      <c r="T819" s="4">
        <v>263.18374969841096</v>
      </c>
      <c r="U819" s="7">
        <v>-3.9860823397866008E-2</v>
      </c>
    </row>
    <row r="820" spans="19:21" x14ac:dyDescent="0.25">
      <c r="S820" s="11">
        <v>802</v>
      </c>
      <c r="T820" s="4">
        <v>268.47301016369693</v>
      </c>
      <c r="U820" s="7">
        <v>-2.0564699705603928E-2</v>
      </c>
    </row>
    <row r="821" spans="19:21" x14ac:dyDescent="0.25">
      <c r="S821" s="11">
        <v>803</v>
      </c>
      <c r="T821" s="4">
        <v>372.07776816328163</v>
      </c>
      <c r="U821" s="7">
        <v>0.35740311613323716</v>
      </c>
    </row>
    <row r="822" spans="19:21" x14ac:dyDescent="0.25">
      <c r="S822" s="11">
        <v>804</v>
      </c>
      <c r="T822" s="4">
        <v>262.44383887172268</v>
      </c>
      <c r="U822" s="7">
        <v>-4.2560144205893047E-2</v>
      </c>
    </row>
    <row r="823" spans="19:21" x14ac:dyDescent="0.25">
      <c r="S823" s="11">
        <v>805</v>
      </c>
      <c r="T823" s="4">
        <v>274.64312038969996</v>
      </c>
      <c r="U823" s="7">
        <v>1.9449140480096716E-3</v>
      </c>
    </row>
    <row r="824" spans="19:21" x14ac:dyDescent="0.25">
      <c r="S824" s="11">
        <v>806</v>
      </c>
      <c r="T824" s="4">
        <v>524.36204436744561</v>
      </c>
      <c r="U824" s="7">
        <v>0.91296211144228812</v>
      </c>
    </row>
    <row r="825" spans="19:21" x14ac:dyDescent="0.25">
      <c r="S825" s="11">
        <v>807</v>
      </c>
      <c r="T825" s="4">
        <v>370.45309222207044</v>
      </c>
      <c r="U825" s="7">
        <v>0.35147602138583212</v>
      </c>
    </row>
    <row r="826" spans="19:21" x14ac:dyDescent="0.25">
      <c r="S826" s="11">
        <v>808</v>
      </c>
      <c r="T826" s="4">
        <v>325.85633783214257</v>
      </c>
      <c r="U826" s="7">
        <v>0.18877946018803593</v>
      </c>
    </row>
    <row r="827" spans="19:21" x14ac:dyDescent="0.25">
      <c r="S827" s="11">
        <v>809</v>
      </c>
      <c r="T827" s="4">
        <v>264.16656923585617</v>
      </c>
      <c r="U827" s="7">
        <v>-3.6275330211024137E-2</v>
      </c>
    </row>
    <row r="828" spans="19:21" x14ac:dyDescent="0.25">
      <c r="S828" s="11">
        <v>810</v>
      </c>
      <c r="T828" s="4">
        <v>349.95872524945889</v>
      </c>
      <c r="U828" s="7">
        <v>0.27670907755812957</v>
      </c>
    </row>
    <row r="829" spans="19:21" x14ac:dyDescent="0.25">
      <c r="S829" s="11">
        <v>811</v>
      </c>
      <c r="T829" s="4">
        <v>402.50508085890937</v>
      </c>
      <c r="U829" s="7">
        <v>0.46840713895483321</v>
      </c>
    </row>
    <row r="830" spans="19:21" x14ac:dyDescent="0.25">
      <c r="S830" s="11">
        <v>812</v>
      </c>
      <c r="T830" s="4">
        <v>297.66185737967038</v>
      </c>
      <c r="U830" s="7">
        <v>8.5921189959032418E-2</v>
      </c>
    </row>
    <row r="831" spans="19:21" x14ac:dyDescent="0.25">
      <c r="S831" s="11">
        <v>813</v>
      </c>
      <c r="T831" s="4">
        <v>366.85733683392624</v>
      </c>
      <c r="U831" s="7">
        <v>0.33835809286026119</v>
      </c>
    </row>
    <row r="832" spans="19:21" x14ac:dyDescent="0.25">
      <c r="S832" s="11">
        <v>814</v>
      </c>
      <c r="T832" s="4">
        <v>280.42575282877488</v>
      </c>
      <c r="U832" s="7">
        <v>2.3040942792218022E-2</v>
      </c>
    </row>
    <row r="833" spans="19:21" x14ac:dyDescent="0.25">
      <c r="S833" s="11">
        <v>815</v>
      </c>
      <c r="T833" s="4">
        <v>432.25637386631138</v>
      </c>
      <c r="U833" s="7">
        <v>0.57694492673128073</v>
      </c>
    </row>
    <row r="834" spans="19:21" x14ac:dyDescent="0.25">
      <c r="S834" s="11">
        <v>816</v>
      </c>
      <c r="T834" s="4">
        <v>386.14693227136746</v>
      </c>
      <c r="U834" s="7">
        <v>0.40872982478336239</v>
      </c>
    </row>
    <row r="835" spans="19:21" x14ac:dyDescent="0.25">
      <c r="S835" s="11">
        <v>817</v>
      </c>
      <c r="T835" s="4">
        <v>346.18920292823196</v>
      </c>
      <c r="U835" s="7">
        <v>0.26295721764339852</v>
      </c>
    </row>
    <row r="836" spans="19:21" x14ac:dyDescent="0.25">
      <c r="S836" s="11">
        <v>818</v>
      </c>
      <c r="T836" s="4">
        <v>328.02741683891941</v>
      </c>
      <c r="U836" s="7">
        <v>0.19669992644894174</v>
      </c>
    </row>
    <row r="837" spans="19:21" x14ac:dyDescent="0.25">
      <c r="S837" s="11">
        <v>819</v>
      </c>
      <c r="T837" s="4">
        <v>319.46630061426225</v>
      </c>
      <c r="U837" s="7">
        <v>0.16546751528314263</v>
      </c>
    </row>
    <row r="838" spans="19:21" x14ac:dyDescent="0.25">
      <c r="S838" s="11">
        <v>820</v>
      </c>
      <c r="T838" s="4">
        <v>265.50361927084867</v>
      </c>
      <c r="U838" s="7">
        <v>-3.1397543793190152E-2</v>
      </c>
    </row>
    <row r="839" spans="19:21" x14ac:dyDescent="0.25">
      <c r="S839" s="11">
        <v>821</v>
      </c>
      <c r="T839" s="4">
        <v>289.30284486603966</v>
      </c>
      <c r="U839" s="7">
        <v>5.5426087578124283E-2</v>
      </c>
    </row>
    <row r="840" spans="19:21" x14ac:dyDescent="0.25">
      <c r="S840" s="11">
        <v>822</v>
      </c>
      <c r="T840" s="4">
        <v>345.09155846438392</v>
      </c>
      <c r="U840" s="7">
        <v>0.25895282355398885</v>
      </c>
    </row>
    <row r="841" spans="19:21" x14ac:dyDescent="0.25">
      <c r="S841" s="11">
        <v>823</v>
      </c>
      <c r="T841" s="4">
        <v>267.06283813169711</v>
      </c>
      <c r="U841" s="7">
        <v>-2.5709247631618304E-2</v>
      </c>
    </row>
    <row r="842" spans="19:21" x14ac:dyDescent="0.25">
      <c r="S842" s="11">
        <v>824</v>
      </c>
      <c r="T842" s="4">
        <v>430.102704968843</v>
      </c>
      <c r="U842" s="7">
        <v>0.56908797551655521</v>
      </c>
    </row>
    <row r="843" spans="19:21" x14ac:dyDescent="0.25">
      <c r="S843" s="11">
        <v>825</v>
      </c>
      <c r="T843" s="4">
        <v>309.84709027981961</v>
      </c>
      <c r="U843" s="7">
        <v>0.13037499646061645</v>
      </c>
    </row>
    <row r="844" spans="19:21" x14ac:dyDescent="0.25">
      <c r="S844" s="11">
        <v>826</v>
      </c>
      <c r="T844" s="4">
        <v>301.49566318269405</v>
      </c>
      <c r="U844" s="7">
        <v>9.9907566971996653E-2</v>
      </c>
    </row>
    <row r="845" spans="19:21" x14ac:dyDescent="0.25">
      <c r="S845" s="11">
        <v>827</v>
      </c>
      <c r="T845" s="4">
        <v>274.59894682986231</v>
      </c>
      <c r="U845" s="7">
        <v>1.7837613726690016E-3</v>
      </c>
    </row>
    <row r="846" spans="19:21" x14ac:dyDescent="0.25">
      <c r="S846" s="11">
        <v>828</v>
      </c>
      <c r="T846" s="4">
        <v>240.70208396130883</v>
      </c>
      <c r="U846" s="7">
        <v>-0.12187777183864579</v>
      </c>
    </row>
    <row r="847" spans="19:21" x14ac:dyDescent="0.25">
      <c r="S847" s="11">
        <v>829</v>
      </c>
      <c r="T847" s="4">
        <v>356.66867926900522</v>
      </c>
      <c r="U847" s="7">
        <v>0.30118813348292739</v>
      </c>
    </row>
    <row r="848" spans="19:21" x14ac:dyDescent="0.25">
      <c r="S848" s="11">
        <v>830</v>
      </c>
      <c r="T848" s="4">
        <v>322.15261169997211</v>
      </c>
      <c r="U848" s="7">
        <v>0.17526763598545148</v>
      </c>
    </row>
    <row r="849" spans="19:21" x14ac:dyDescent="0.25">
      <c r="S849" s="11">
        <v>831</v>
      </c>
      <c r="T849" s="4">
        <v>344.6247585915707</v>
      </c>
      <c r="U849" s="7">
        <v>0.25724985805541811</v>
      </c>
    </row>
    <row r="850" spans="19:21" x14ac:dyDescent="0.25">
      <c r="S850" s="11">
        <v>832</v>
      </c>
      <c r="T850" s="4">
        <v>293.59616102592781</v>
      </c>
      <c r="U850" s="7">
        <v>7.1088836693034896E-2</v>
      </c>
    </row>
    <row r="851" spans="19:21" x14ac:dyDescent="0.25">
      <c r="S851" s="11">
        <v>833</v>
      </c>
      <c r="T851" s="4">
        <v>310.75181560995696</v>
      </c>
      <c r="U851" s="7">
        <v>0.13367558866862561</v>
      </c>
    </row>
    <row r="852" spans="19:21" x14ac:dyDescent="0.25">
      <c r="S852" s="11">
        <v>834</v>
      </c>
      <c r="T852" s="4">
        <v>322.17517110744956</v>
      </c>
      <c r="U852" s="7">
        <v>0.17534993654901143</v>
      </c>
    </row>
    <row r="853" spans="19:21" x14ac:dyDescent="0.25">
      <c r="S853" s="11">
        <v>835</v>
      </c>
      <c r="T853" s="4">
        <v>299.27597285540151</v>
      </c>
      <c r="U853" s="7">
        <v>9.1809758328413649E-2</v>
      </c>
    </row>
    <row r="854" spans="19:21" x14ac:dyDescent="0.25">
      <c r="S854" s="11">
        <v>836</v>
      </c>
      <c r="T854" s="4">
        <v>307.07666420527738</v>
      </c>
      <c r="U854" s="7">
        <v>0.12026800994227638</v>
      </c>
    </row>
    <row r="855" spans="19:21" x14ac:dyDescent="0.25">
      <c r="S855" s="11">
        <v>837</v>
      </c>
      <c r="T855" s="4">
        <v>338.3848147877514</v>
      </c>
      <c r="U855" s="7">
        <v>0.23448547950731968</v>
      </c>
    </row>
    <row r="856" spans="19:21" x14ac:dyDescent="0.25">
      <c r="S856" s="11">
        <v>838</v>
      </c>
      <c r="T856" s="4">
        <v>304.38671943514873</v>
      </c>
      <c r="U856" s="7">
        <v>0.11045463293987345</v>
      </c>
    </row>
    <row r="857" spans="19:21" x14ac:dyDescent="0.25">
      <c r="S857" s="11">
        <v>839</v>
      </c>
      <c r="T857" s="4">
        <v>228.44366206438633</v>
      </c>
      <c r="U857" s="7">
        <v>-0.16659858427497598</v>
      </c>
    </row>
    <row r="858" spans="19:21" x14ac:dyDescent="0.25">
      <c r="S858" s="11">
        <v>840</v>
      </c>
      <c r="T858" s="4">
        <v>381.73350105396702</v>
      </c>
      <c r="U858" s="7">
        <v>0.39262887546593328</v>
      </c>
    </row>
    <row r="859" spans="19:21" x14ac:dyDescent="0.25">
      <c r="S859" s="11">
        <v>841</v>
      </c>
      <c r="T859" s="4">
        <v>321.53119762676005</v>
      </c>
      <c r="U859" s="7">
        <v>0.17300061153099122</v>
      </c>
    </row>
    <row r="860" spans="19:21" x14ac:dyDescent="0.25">
      <c r="S860" s="11">
        <v>842</v>
      </c>
      <c r="T860" s="4">
        <v>382.17547899981173</v>
      </c>
      <c r="U860" s="7">
        <v>0.39424128634421107</v>
      </c>
    </row>
    <row r="861" spans="19:21" x14ac:dyDescent="0.25">
      <c r="S861" s="11">
        <v>843</v>
      </c>
      <c r="T861" s="4">
        <v>267.54215462425941</v>
      </c>
      <c r="U861" s="7">
        <v>-2.3960619370838709E-2</v>
      </c>
    </row>
    <row r="862" spans="19:21" x14ac:dyDescent="0.25">
      <c r="S862" s="11">
        <v>844</v>
      </c>
      <c r="T862" s="4">
        <v>291.6851491431006</v>
      </c>
      <c r="U862" s="7">
        <v>6.4117139626794328E-2</v>
      </c>
    </row>
    <row r="863" spans="19:21" x14ac:dyDescent="0.25">
      <c r="S863" s="11">
        <v>845</v>
      </c>
      <c r="T863" s="4">
        <v>411.08448442451242</v>
      </c>
      <c r="U863" s="7">
        <v>0.49970626545734342</v>
      </c>
    </row>
    <row r="864" spans="19:21" x14ac:dyDescent="0.25">
      <c r="S864" s="11">
        <v>846</v>
      </c>
      <c r="T864" s="4">
        <v>308.77203714966214</v>
      </c>
      <c r="U864" s="7">
        <v>0.12645301940703413</v>
      </c>
    </row>
    <row r="865" spans="19:21" x14ac:dyDescent="0.25">
      <c r="S865" s="11">
        <v>847</v>
      </c>
      <c r="T865" s="4">
        <v>252.46195886362554</v>
      </c>
      <c r="U865" s="7">
        <v>-7.8975743812245036E-2</v>
      </c>
    </row>
    <row r="866" spans="19:21" x14ac:dyDescent="0.25">
      <c r="S866" s="11">
        <v>848</v>
      </c>
      <c r="T866" s="4">
        <v>269.04260248052685</v>
      </c>
      <c r="U866" s="7">
        <v>-1.8486729851056705E-2</v>
      </c>
    </row>
    <row r="867" spans="19:21" x14ac:dyDescent="0.25">
      <c r="S867" s="11">
        <v>849</v>
      </c>
      <c r="T867" s="4">
        <v>269.94212708250308</v>
      </c>
      <c r="U867" s="7">
        <v>-1.5205110785804776E-2</v>
      </c>
    </row>
    <row r="868" spans="19:21" x14ac:dyDescent="0.25">
      <c r="S868" s="11">
        <v>850</v>
      </c>
      <c r="T868" s="4">
        <v>319.51472469091988</v>
      </c>
      <c r="U868" s="7">
        <v>0.16564417456831149</v>
      </c>
    </row>
    <row r="869" spans="19:21" x14ac:dyDescent="0.25">
      <c r="S869" s="11">
        <v>851</v>
      </c>
      <c r="T869" s="4">
        <v>289.5001115736539</v>
      </c>
      <c r="U869" s="7">
        <v>5.6145750150136342E-2</v>
      </c>
    </row>
    <row r="870" spans="19:21" x14ac:dyDescent="0.25">
      <c r="S870" s="11">
        <v>852</v>
      </c>
      <c r="T870" s="4">
        <v>399.68166514696236</v>
      </c>
      <c r="U870" s="7">
        <v>0.45810683720755296</v>
      </c>
    </row>
    <row r="871" spans="19:21" x14ac:dyDescent="0.25">
      <c r="S871" s="11">
        <v>853</v>
      </c>
      <c r="T871" s="4">
        <v>251.0637930468481</v>
      </c>
      <c r="U871" s="7">
        <v>-8.4076491018758581E-2</v>
      </c>
    </row>
    <row r="872" spans="19:21" x14ac:dyDescent="0.25">
      <c r="S872" s="11">
        <v>854</v>
      </c>
      <c r="T872" s="4">
        <v>163.18418594506019</v>
      </c>
      <c r="U872" s="7">
        <v>-0.40467627614804214</v>
      </c>
    </row>
    <row r="873" spans="19:21" x14ac:dyDescent="0.25">
      <c r="S873" s="11">
        <v>855</v>
      </c>
      <c r="T873" s="4">
        <v>396.33857570394736</v>
      </c>
      <c r="U873" s="7">
        <v>0.44591067711483467</v>
      </c>
    </row>
    <row r="874" spans="19:21" x14ac:dyDescent="0.25">
      <c r="S874" s="11">
        <v>856</v>
      </c>
      <c r="T874" s="4">
        <v>486.82010391135327</v>
      </c>
      <c r="U874" s="7">
        <v>0.77600271391541087</v>
      </c>
    </row>
    <row r="875" spans="19:21" x14ac:dyDescent="0.25">
      <c r="S875" s="11">
        <v>857</v>
      </c>
      <c r="T875" s="4">
        <v>421.09815033505214</v>
      </c>
      <c r="U875" s="7">
        <v>0.5362378254534752</v>
      </c>
    </row>
    <row r="876" spans="19:21" x14ac:dyDescent="0.25">
      <c r="S876" s="11">
        <v>858</v>
      </c>
      <c r="T876" s="4">
        <v>419.05482990953197</v>
      </c>
      <c r="U876" s="7">
        <v>0.52878344427248902</v>
      </c>
    </row>
    <row r="877" spans="19:21" x14ac:dyDescent="0.25">
      <c r="S877" s="11">
        <v>859</v>
      </c>
      <c r="T877" s="4">
        <v>369.49702185363134</v>
      </c>
      <c r="U877" s="7">
        <v>0.34798811372672045</v>
      </c>
    </row>
    <row r="878" spans="19:21" x14ac:dyDescent="0.25">
      <c r="S878" s="11">
        <v>860</v>
      </c>
      <c r="T878" s="4">
        <v>423.39238863653469</v>
      </c>
      <c r="U878" s="7">
        <v>0.54460759781304824</v>
      </c>
    </row>
    <row r="879" spans="19:21" x14ac:dyDescent="0.25">
      <c r="S879" s="11">
        <v>861</v>
      </c>
      <c r="T879" s="4">
        <v>387.57644610234371</v>
      </c>
      <c r="U879" s="7">
        <v>0.41394493488870787</v>
      </c>
    </row>
    <row r="880" spans="19:21" x14ac:dyDescent="0.25">
      <c r="S880" s="11">
        <v>862</v>
      </c>
      <c r="T880" s="4">
        <v>298.18931930313903</v>
      </c>
      <c r="U880" s="7">
        <v>8.7845460957787003E-2</v>
      </c>
    </row>
    <row r="881" spans="19:21" x14ac:dyDescent="0.25">
      <c r="S881" s="11">
        <v>863</v>
      </c>
      <c r="T881" s="4">
        <v>332.59956659139476</v>
      </c>
      <c r="U881" s="7">
        <v>0.21337990803471141</v>
      </c>
    </row>
    <row r="882" spans="19:21" x14ac:dyDescent="0.25">
      <c r="S882" s="11">
        <v>864</v>
      </c>
      <c r="T882" s="4">
        <v>366.19500456440682</v>
      </c>
      <c r="U882" s="7">
        <v>0.33594179185147133</v>
      </c>
    </row>
    <row r="883" spans="19:21" x14ac:dyDescent="0.25">
      <c r="S883" s="11">
        <v>865</v>
      </c>
      <c r="T883" s="4">
        <v>319.18268697807429</v>
      </c>
      <c r="U883" s="7">
        <v>0.16443284439850525</v>
      </c>
    </row>
    <row r="884" spans="19:21" x14ac:dyDescent="0.25">
      <c r="S884" s="11">
        <v>866</v>
      </c>
      <c r="T884" s="4">
        <v>279.22076772074155</v>
      </c>
      <c r="U884" s="7">
        <v>1.864495173741032E-2</v>
      </c>
    </row>
    <row r="885" spans="19:21" x14ac:dyDescent="0.25">
      <c r="S885" s="11">
        <v>867</v>
      </c>
      <c r="T885" s="4">
        <v>217.25148897020048</v>
      </c>
      <c r="U885" s="7">
        <v>-0.20742953934478692</v>
      </c>
    </row>
    <row r="886" spans="19:21" x14ac:dyDescent="0.25">
      <c r="S886" s="11">
        <v>868</v>
      </c>
      <c r="T886" s="4">
        <v>292.78023320334745</v>
      </c>
      <c r="U886" s="7">
        <v>6.8112192927465065E-2</v>
      </c>
    </row>
    <row r="887" spans="19:21" x14ac:dyDescent="0.25">
      <c r="S887" s="11">
        <v>869</v>
      </c>
      <c r="T887" s="4">
        <v>353.68818202894602</v>
      </c>
      <c r="U887" s="7">
        <v>0.29031477154772167</v>
      </c>
    </row>
    <row r="888" spans="19:21" x14ac:dyDescent="0.25">
      <c r="S888" s="11">
        <v>870</v>
      </c>
      <c r="T888" s="4">
        <v>270.19001794796992</v>
      </c>
      <c r="U888" s="7">
        <v>-1.4300762657437183E-2</v>
      </c>
    </row>
    <row r="889" spans="19:21" x14ac:dyDescent="0.25">
      <c r="S889" s="11">
        <v>871</v>
      </c>
      <c r="T889" s="4">
        <v>321.62511572905771</v>
      </c>
      <c r="U889" s="7">
        <v>0.17334324077581154</v>
      </c>
    </row>
    <row r="890" spans="19:21" x14ac:dyDescent="0.25">
      <c r="S890" s="11">
        <v>872</v>
      </c>
      <c r="T890" s="4">
        <v>221.11406429668853</v>
      </c>
      <c r="U890" s="7">
        <v>-0.1933382062066743</v>
      </c>
    </row>
    <row r="891" spans="19:21" x14ac:dyDescent="0.25">
      <c r="S891" s="11">
        <v>873</v>
      </c>
      <c r="T891" s="4">
        <v>381.04074421050927</v>
      </c>
      <c r="U891" s="7">
        <v>0.39010158042577525</v>
      </c>
    </row>
    <row r="892" spans="19:21" x14ac:dyDescent="0.25">
      <c r="S892" s="11">
        <v>874</v>
      </c>
      <c r="T892" s="4">
        <v>300.79338944224372</v>
      </c>
      <c r="U892" s="7">
        <v>9.7345552669525715E-2</v>
      </c>
    </row>
    <row r="893" spans="19:21" x14ac:dyDescent="0.25">
      <c r="S893" s="11">
        <v>875</v>
      </c>
      <c r="T893" s="4">
        <v>345.10676005866196</v>
      </c>
      <c r="U893" s="7">
        <v>0.25900828156091338</v>
      </c>
    </row>
    <row r="894" spans="19:21" x14ac:dyDescent="0.25">
      <c r="S894" s="11">
        <v>876</v>
      </c>
      <c r="T894" s="4">
        <v>299.17324416398498</v>
      </c>
      <c r="U894" s="7">
        <v>9.1434986552788811E-2</v>
      </c>
    </row>
    <row r="895" spans="19:21" x14ac:dyDescent="0.25">
      <c r="S895" s="11">
        <v>877</v>
      </c>
      <c r="T895" s="4">
        <v>375.61075587493428</v>
      </c>
      <c r="U895" s="7">
        <v>0.37029205747668548</v>
      </c>
    </row>
    <row r="896" spans="19:21" x14ac:dyDescent="0.25">
      <c r="S896" s="11">
        <v>878</v>
      </c>
      <c r="T896" s="4">
        <v>406.81880374515725</v>
      </c>
      <c r="U896" s="7">
        <v>0.48414433528567824</v>
      </c>
    </row>
    <row r="897" spans="19:21" x14ac:dyDescent="0.25">
      <c r="S897" s="11">
        <v>879</v>
      </c>
      <c r="T897" s="4">
        <v>265.2686828765589</v>
      </c>
      <c r="U897" s="7">
        <v>-3.2254631802711042E-2</v>
      </c>
    </row>
    <row r="898" spans="19:21" x14ac:dyDescent="0.25">
      <c r="S898" s="11">
        <v>880</v>
      </c>
      <c r="T898" s="4">
        <v>341.24514937834471</v>
      </c>
      <c r="U898" s="7">
        <v>0.24492046761644848</v>
      </c>
    </row>
    <row r="899" spans="19:21" x14ac:dyDescent="0.25">
      <c r="S899" s="11">
        <v>881</v>
      </c>
      <c r="T899" s="4">
        <v>322.17465419552065</v>
      </c>
      <c r="U899" s="7">
        <v>0.17534805076619109</v>
      </c>
    </row>
    <row r="900" spans="19:21" x14ac:dyDescent="0.25">
      <c r="S900" s="11">
        <v>882</v>
      </c>
      <c r="T900" s="4">
        <v>227.74080911671152</v>
      </c>
      <c r="U900" s="7">
        <v>-0.16916271162412355</v>
      </c>
    </row>
    <row r="901" spans="19:21" x14ac:dyDescent="0.25">
      <c r="S901" s="11">
        <v>883</v>
      </c>
      <c r="T901" s="4">
        <v>322.87596531328387</v>
      </c>
      <c r="U901" s="7">
        <v>0.17790655325702764</v>
      </c>
    </row>
    <row r="902" spans="19:21" x14ac:dyDescent="0.25">
      <c r="S902" s="11">
        <v>884</v>
      </c>
      <c r="T902" s="4">
        <v>258.77839215788975</v>
      </c>
      <c r="U902" s="7">
        <v>-5.5932318565941608E-2</v>
      </c>
    </row>
    <row r="903" spans="19:21" x14ac:dyDescent="0.25">
      <c r="S903" s="11">
        <v>885</v>
      </c>
      <c r="T903" s="4">
        <v>294.52819638888963</v>
      </c>
      <c r="U903" s="7">
        <v>7.4489060555578357E-2</v>
      </c>
    </row>
    <row r="904" spans="19:21" x14ac:dyDescent="0.25">
      <c r="S904" s="11">
        <v>886</v>
      </c>
      <c r="T904" s="4">
        <v>240.63184924434461</v>
      </c>
      <c r="U904" s="7">
        <v>-0.12213400005711361</v>
      </c>
    </row>
    <row r="905" spans="19:21" x14ac:dyDescent="0.25">
      <c r="S905" s="11">
        <v>887</v>
      </c>
      <c r="T905" s="4">
        <v>367.62822928755838</v>
      </c>
      <c r="U905" s="7">
        <v>0.34117043992396612</v>
      </c>
    </row>
    <row r="906" spans="19:21" x14ac:dyDescent="0.25">
      <c r="S906" s="11">
        <v>888</v>
      </c>
      <c r="T906" s="4">
        <v>378.40621286118966</v>
      </c>
      <c r="U906" s="7">
        <v>0.38049036102728695</v>
      </c>
    </row>
    <row r="907" spans="19:21" x14ac:dyDescent="0.25">
      <c r="S907" s="11">
        <v>889</v>
      </c>
      <c r="T907" s="4">
        <v>302.75143781357451</v>
      </c>
      <c r="U907" s="7">
        <v>0.1044888468628451</v>
      </c>
    </row>
    <row r="908" spans="19:21" x14ac:dyDescent="0.25">
      <c r="S908" s="11">
        <v>890</v>
      </c>
      <c r="T908" s="4">
        <v>280.25482449198608</v>
      </c>
      <c r="U908" s="7">
        <v>2.2417367086155382E-2</v>
      </c>
    </row>
    <row r="909" spans="19:21" x14ac:dyDescent="0.25">
      <c r="S909" s="11">
        <v>891</v>
      </c>
      <c r="T909" s="4">
        <v>358.34811189991382</v>
      </c>
      <c r="U909" s="7">
        <v>0.30731498996721673</v>
      </c>
    </row>
    <row r="910" spans="19:21" x14ac:dyDescent="0.25">
      <c r="S910" s="11">
        <v>892</v>
      </c>
      <c r="T910" s="4">
        <v>469.99634743762772</v>
      </c>
      <c r="U910" s="7">
        <v>0.71462678281575909</v>
      </c>
    </row>
    <row r="911" spans="19:21" x14ac:dyDescent="0.25">
      <c r="S911" s="11">
        <v>893</v>
      </c>
      <c r="T911" s="4">
        <v>292.46875450137566</v>
      </c>
      <c r="U911" s="7">
        <v>6.6975865533456025E-2</v>
      </c>
    </row>
    <row r="912" spans="19:21" x14ac:dyDescent="0.25">
      <c r="S912" s="11">
        <v>894</v>
      </c>
      <c r="T912" s="4">
        <v>394.57266267369096</v>
      </c>
      <c r="U912" s="7">
        <v>0.439468325393787</v>
      </c>
    </row>
    <row r="913" spans="19:21" x14ac:dyDescent="0.25">
      <c r="S913" s="11">
        <v>895</v>
      </c>
      <c r="T913" s="4">
        <v>341.24309057333807</v>
      </c>
      <c r="U913" s="7">
        <v>0.24491295674487623</v>
      </c>
    </row>
    <row r="914" spans="19:21" x14ac:dyDescent="0.25">
      <c r="S914" s="11">
        <v>896</v>
      </c>
      <c r="T914" s="4">
        <v>391.63786267060527</v>
      </c>
      <c r="U914" s="7">
        <v>0.42876167476781313</v>
      </c>
    </row>
    <row r="915" spans="19:21" x14ac:dyDescent="0.25">
      <c r="S915" s="11">
        <v>897</v>
      </c>
      <c r="T915" s="4">
        <v>276.12077065110543</v>
      </c>
      <c r="U915" s="7">
        <v>7.3356340560557509E-3</v>
      </c>
    </row>
    <row r="916" spans="19:21" x14ac:dyDescent="0.25">
      <c r="S916" s="11">
        <v>898</v>
      </c>
      <c r="T916" s="4">
        <v>397.70377718014373</v>
      </c>
      <c r="U916" s="7">
        <v>0.45089116478838309</v>
      </c>
    </row>
    <row r="917" spans="19:21" x14ac:dyDescent="0.25">
      <c r="S917" s="11">
        <v>899</v>
      </c>
      <c r="T917" s="4">
        <v>353.50629433353066</v>
      </c>
      <c r="U917" s="7">
        <v>0.28965121423344886</v>
      </c>
    </row>
    <row r="918" spans="19:21" x14ac:dyDescent="0.25">
      <c r="S918" s="11">
        <v>900</v>
      </c>
      <c r="T918" s="4">
        <v>306.92707830698095</v>
      </c>
      <c r="U918" s="7">
        <v>0.11972229508949295</v>
      </c>
    </row>
    <row r="919" spans="19:21" x14ac:dyDescent="0.25">
      <c r="S919" s="11">
        <v>901</v>
      </c>
      <c r="T919" s="4">
        <v>287.71438719496513</v>
      </c>
      <c r="U919" s="7">
        <v>4.9631123253311094E-2</v>
      </c>
    </row>
    <row r="920" spans="19:21" x14ac:dyDescent="0.25">
      <c r="S920" s="11">
        <v>902</v>
      </c>
      <c r="T920" s="4">
        <v>377.09375048745045</v>
      </c>
      <c r="U920" s="7">
        <v>0.37570227458848793</v>
      </c>
    </row>
    <row r="921" spans="19:21" x14ac:dyDescent="0.25">
      <c r="S921" s="11">
        <v>903</v>
      </c>
      <c r="T921" s="4">
        <v>255.45547726023062</v>
      </c>
      <c r="U921" s="7">
        <v>-6.8054878478601255E-2</v>
      </c>
    </row>
    <row r="922" spans="19:21" x14ac:dyDescent="0.25">
      <c r="S922" s="11">
        <v>904</v>
      </c>
      <c r="T922" s="4">
        <v>286.95595771801555</v>
      </c>
      <c r="U922" s="7">
        <v>4.6864243252765503E-2</v>
      </c>
    </row>
    <row r="923" spans="19:21" x14ac:dyDescent="0.25">
      <c r="S923" s="11">
        <v>905</v>
      </c>
      <c r="T923" s="4">
        <v>281.10409979121573</v>
      </c>
      <c r="U923" s="7">
        <v>2.5515668130370095E-2</v>
      </c>
    </row>
    <row r="924" spans="19:21" x14ac:dyDescent="0.25">
      <c r="S924" s="11">
        <v>906</v>
      </c>
      <c r="T924" s="4">
        <v>352.57444899943926</v>
      </c>
      <c r="U924" s="7">
        <v>0.28625168362861353</v>
      </c>
    </row>
    <row r="925" spans="19:21" x14ac:dyDescent="0.25">
      <c r="S925" s="11">
        <v>907</v>
      </c>
      <c r="T925" s="4">
        <v>310.4862654997055</v>
      </c>
      <c r="U925" s="7">
        <v>0.13270681660539729</v>
      </c>
    </row>
    <row r="926" spans="19:21" x14ac:dyDescent="0.25">
      <c r="S926" s="11">
        <v>908</v>
      </c>
      <c r="T926" s="4">
        <v>312.7982654542958</v>
      </c>
      <c r="U926" s="7">
        <v>0.14114138650284835</v>
      </c>
    </row>
    <row r="927" spans="19:21" x14ac:dyDescent="0.25">
      <c r="S927" s="11">
        <v>909</v>
      </c>
      <c r="T927" s="4">
        <v>389.66620530861519</v>
      </c>
      <c r="U927" s="7">
        <v>0.42156873265701789</v>
      </c>
    </row>
    <row r="928" spans="19:21" x14ac:dyDescent="0.25">
      <c r="S928" s="11">
        <v>910</v>
      </c>
      <c r="T928" s="4">
        <v>274.54083936896672</v>
      </c>
      <c r="U928" s="7">
        <v>1.5717754513395743E-3</v>
      </c>
    </row>
    <row r="929" spans="19:21" x14ac:dyDescent="0.25">
      <c r="S929" s="11">
        <v>911</v>
      </c>
      <c r="T929" s="4">
        <v>335.60856198816913</v>
      </c>
      <c r="U929" s="7">
        <v>0.22435723610291158</v>
      </c>
    </row>
    <row r="930" spans="19:21" x14ac:dyDescent="0.25">
      <c r="S930" s="11">
        <v>912</v>
      </c>
      <c r="T930" s="4">
        <v>295.71766516154105</v>
      </c>
      <c r="U930" s="7">
        <v>7.8828445374269585E-2</v>
      </c>
    </row>
    <row r="931" spans="19:21" x14ac:dyDescent="0.25">
      <c r="S931" s="11">
        <v>913</v>
      </c>
      <c r="T931" s="4">
        <v>245.14149246909759</v>
      </c>
      <c r="U931" s="7">
        <v>-0.10568205293824529</v>
      </c>
    </row>
    <row r="932" spans="19:21" x14ac:dyDescent="0.25">
      <c r="S932" s="11">
        <v>914</v>
      </c>
      <c r="T932" s="4">
        <v>274.11386517145434</v>
      </c>
      <c r="U932" s="7">
        <v>1.4100804254901789E-5</v>
      </c>
    </row>
    <row r="933" spans="19:21" x14ac:dyDescent="0.25">
      <c r="S933" s="11">
        <v>915</v>
      </c>
      <c r="T933" s="4">
        <v>310.86382593341392</v>
      </c>
      <c r="U933" s="7">
        <v>0.13408422141991871</v>
      </c>
    </row>
    <row r="934" spans="19:21" x14ac:dyDescent="0.25">
      <c r="S934" s="11">
        <v>916</v>
      </c>
      <c r="T934" s="4">
        <v>345.7303094670408</v>
      </c>
      <c r="U934" s="7">
        <v>0.26128309608201361</v>
      </c>
    </row>
    <row r="935" spans="19:21" x14ac:dyDescent="0.25">
      <c r="S935" s="11">
        <v>917</v>
      </c>
      <c r="T935" s="4">
        <v>359.97775528263014</v>
      </c>
      <c r="U935" s="7">
        <v>0.31326020678789579</v>
      </c>
    </row>
    <row r="936" spans="19:21" x14ac:dyDescent="0.25">
      <c r="S936" s="11">
        <v>918</v>
      </c>
      <c r="T936" s="4">
        <v>279.41273066803996</v>
      </c>
      <c r="U936" s="7">
        <v>1.9345265287803892E-2</v>
      </c>
    </row>
    <row r="937" spans="19:21" x14ac:dyDescent="0.25">
      <c r="S937" s="11">
        <v>919</v>
      </c>
      <c r="T937" s="4">
        <v>260.37588690869137</v>
      </c>
      <c r="U937" s="7">
        <v>-5.0104385433981435E-2</v>
      </c>
    </row>
    <row r="938" spans="19:21" x14ac:dyDescent="0.25">
      <c r="S938" s="11">
        <v>920</v>
      </c>
      <c r="T938" s="4">
        <v>258.47194038250683</v>
      </c>
      <c r="U938" s="7">
        <v>-5.7050306874952383E-2</v>
      </c>
    </row>
    <row r="939" spans="19:21" x14ac:dyDescent="0.25">
      <c r="S939" s="11">
        <v>921</v>
      </c>
      <c r="T939" s="4">
        <v>312.76380727033904</v>
      </c>
      <c r="U939" s="7">
        <v>0.14101567717463448</v>
      </c>
    </row>
    <row r="940" spans="19:21" x14ac:dyDescent="0.25">
      <c r="S940" s="11">
        <v>922</v>
      </c>
      <c r="T940" s="4">
        <v>248.94328404807709</v>
      </c>
      <c r="U940" s="7">
        <v>-9.1812469271179142E-2</v>
      </c>
    </row>
    <row r="941" spans="19:21" x14ac:dyDescent="0.25">
      <c r="S941" s="11">
        <v>923</v>
      </c>
      <c r="T941" s="4">
        <v>296.05365123706514</v>
      </c>
      <c r="U941" s="7">
        <v>8.0054179844095907E-2</v>
      </c>
    </row>
    <row r="942" spans="19:21" x14ac:dyDescent="0.25">
      <c r="S942" s="11">
        <v>924</v>
      </c>
      <c r="T942" s="4">
        <v>317.1974543403349</v>
      </c>
      <c r="U942" s="7">
        <v>0.15719037736797237</v>
      </c>
    </row>
    <row r="943" spans="19:21" x14ac:dyDescent="0.25">
      <c r="S943" s="11">
        <v>925</v>
      </c>
      <c r="T943" s="4">
        <v>321.96001915828322</v>
      </c>
      <c r="U943" s="7">
        <v>0.1745650255674116</v>
      </c>
    </row>
    <row r="944" spans="19:21" x14ac:dyDescent="0.25">
      <c r="S944" s="11">
        <v>926</v>
      </c>
      <c r="T944" s="4">
        <v>292.93404743536144</v>
      </c>
      <c r="U944" s="7">
        <v>6.8673333462337727E-2</v>
      </c>
    </row>
    <row r="945" spans="19:21" x14ac:dyDescent="0.25">
      <c r="S945" s="11">
        <v>927</v>
      </c>
      <c r="T945" s="4">
        <v>426.58713898672033</v>
      </c>
      <c r="U945" s="7">
        <v>0.55626259161183578</v>
      </c>
    </row>
    <row r="946" spans="19:21" x14ac:dyDescent="0.25">
      <c r="S946" s="11">
        <v>928</v>
      </c>
      <c r="T946" s="4">
        <v>278.55395822881866</v>
      </c>
      <c r="U946" s="7">
        <v>1.6212317058183379E-2</v>
      </c>
    </row>
    <row r="947" spans="19:21" x14ac:dyDescent="0.25">
      <c r="S947" s="11">
        <v>929</v>
      </c>
      <c r="T947" s="4">
        <v>357.61244454164995</v>
      </c>
      <c r="U947" s="7">
        <v>0.30463115005526964</v>
      </c>
    </row>
    <row r="948" spans="19:21" x14ac:dyDescent="0.25">
      <c r="S948" s="11">
        <v>930</v>
      </c>
      <c r="T948" s="4">
        <v>342.77157871598308</v>
      </c>
      <c r="U948" s="7">
        <v>0.25048914200862082</v>
      </c>
    </row>
    <row r="949" spans="19:21" x14ac:dyDescent="0.25">
      <c r="S949" s="11">
        <v>931</v>
      </c>
      <c r="T949" s="4">
        <v>315.3149567830713</v>
      </c>
      <c r="U949" s="7">
        <v>0.15032270542144133</v>
      </c>
    </row>
    <row r="950" spans="19:21" x14ac:dyDescent="0.25">
      <c r="S950" s="11">
        <v>932</v>
      </c>
      <c r="T950" s="4">
        <v>342.21328310755695</v>
      </c>
      <c r="U950" s="7">
        <v>0.24845238447177009</v>
      </c>
    </row>
    <row r="951" spans="19:21" x14ac:dyDescent="0.25">
      <c r="S951" s="11">
        <v>933</v>
      </c>
      <c r="T951" s="4">
        <v>289.99968146924346</v>
      </c>
      <c r="U951" s="7">
        <v>5.7968266277200531E-2</v>
      </c>
    </row>
    <row r="952" spans="19:21" x14ac:dyDescent="0.25">
      <c r="S952" s="11">
        <v>934</v>
      </c>
      <c r="T952" s="4">
        <v>340.88917191037621</v>
      </c>
      <c r="U952" s="7">
        <v>0.24362180113960163</v>
      </c>
    </row>
    <row r="953" spans="19:21" x14ac:dyDescent="0.25">
      <c r="S953" s="11">
        <v>935</v>
      </c>
      <c r="T953" s="4">
        <v>361.10195157633262</v>
      </c>
      <c r="U953" s="7">
        <v>0.3173614664781752</v>
      </c>
    </row>
    <row r="954" spans="19:21" x14ac:dyDescent="0.25">
      <c r="S954" s="11">
        <v>936</v>
      </c>
      <c r="T954" s="4">
        <v>361.77857335185473</v>
      </c>
      <c r="U954" s="7">
        <v>0.31982989804040241</v>
      </c>
    </row>
    <row r="955" spans="19:21" x14ac:dyDescent="0.25">
      <c r="S955" s="11">
        <v>937</v>
      </c>
      <c r="T955" s="4">
        <v>220.09829107242385</v>
      </c>
      <c r="U955" s="7">
        <v>-0.19704392005974303</v>
      </c>
    </row>
    <row r="956" spans="19:21" x14ac:dyDescent="0.25">
      <c r="S956" s="11">
        <v>938</v>
      </c>
      <c r="T956" s="4">
        <v>450.89150118987862</v>
      </c>
      <c r="U956" s="7">
        <v>0.64492904742577295</v>
      </c>
    </row>
    <row r="957" spans="19:21" x14ac:dyDescent="0.25">
      <c r="S957" s="11">
        <v>939</v>
      </c>
      <c r="T957" s="4">
        <v>206.03866172196771</v>
      </c>
      <c r="U957" s="7">
        <v>-0.24833584428890698</v>
      </c>
    </row>
    <row r="958" spans="19:21" x14ac:dyDescent="0.25">
      <c r="S958" s="11">
        <v>940</v>
      </c>
      <c r="T958" s="4">
        <v>411.77948476623038</v>
      </c>
      <c r="U958" s="7">
        <v>0.50224174516154241</v>
      </c>
    </row>
    <row r="959" spans="19:21" x14ac:dyDescent="0.25">
      <c r="S959" s="11">
        <v>941</v>
      </c>
      <c r="T959" s="4">
        <v>287.84041872893778</v>
      </c>
      <c r="U959" s="7">
        <v>5.0090907770375948E-2</v>
      </c>
    </row>
    <row r="960" spans="19:21" x14ac:dyDescent="0.25">
      <c r="S960" s="11">
        <v>942</v>
      </c>
      <c r="T960" s="4">
        <v>349.76448776669179</v>
      </c>
      <c r="U960" s="7">
        <v>0.27600046611466844</v>
      </c>
    </row>
    <row r="961" spans="19:21" x14ac:dyDescent="0.25">
      <c r="S961" s="11">
        <v>943</v>
      </c>
      <c r="T961" s="4">
        <v>388.88573880162727</v>
      </c>
      <c r="U961" s="7">
        <v>0.41872145781484527</v>
      </c>
    </row>
    <row r="962" spans="19:21" x14ac:dyDescent="0.25">
      <c r="S962" s="11">
        <v>944</v>
      </c>
      <c r="T962" s="4">
        <v>354.15792450597866</v>
      </c>
      <c r="U962" s="7">
        <v>0.29202847216802974</v>
      </c>
    </row>
    <row r="963" spans="19:21" x14ac:dyDescent="0.25">
      <c r="S963" s="11">
        <v>945</v>
      </c>
      <c r="T963" s="4">
        <v>346.79765627093929</v>
      </c>
      <c r="U963" s="7">
        <v>0.2651769591439177</v>
      </c>
    </row>
    <row r="964" spans="19:21" x14ac:dyDescent="0.25">
      <c r="S964" s="11">
        <v>946</v>
      </c>
      <c r="T964" s="4">
        <v>340.40212083428702</v>
      </c>
      <c r="U964" s="7">
        <v>0.24184495579981391</v>
      </c>
    </row>
    <row r="965" spans="19:21" x14ac:dyDescent="0.25">
      <c r="S965" s="11">
        <v>947</v>
      </c>
      <c r="T965" s="4">
        <v>240.24785854170338</v>
      </c>
      <c r="U965" s="7">
        <v>-0.12353486358869292</v>
      </c>
    </row>
    <row r="966" spans="19:21" x14ac:dyDescent="0.25">
      <c r="S966" s="11">
        <v>948</v>
      </c>
      <c r="T966" s="4">
        <v>247.90941041795958</v>
      </c>
      <c r="U966" s="7">
        <v>-9.5584216489877916E-2</v>
      </c>
    </row>
    <row r="967" spans="19:21" x14ac:dyDescent="0.25">
      <c r="S967" s="11">
        <v>949</v>
      </c>
      <c r="T967" s="4">
        <v>348.84600261607369</v>
      </c>
      <c r="U967" s="7">
        <v>0.27264967573628707</v>
      </c>
    </row>
    <row r="968" spans="19:21" x14ac:dyDescent="0.25">
      <c r="S968" s="11">
        <v>950</v>
      </c>
      <c r="T968" s="4">
        <v>192.38719710573807</v>
      </c>
      <c r="U968" s="7">
        <v>-0.29813871399898562</v>
      </c>
    </row>
    <row r="969" spans="19:21" x14ac:dyDescent="0.25">
      <c r="S969" s="11">
        <v>951</v>
      </c>
      <c r="T969" s="4">
        <v>431.94247246262518</v>
      </c>
      <c r="U969" s="7">
        <v>0.57579976090848617</v>
      </c>
    </row>
    <row r="970" spans="19:21" x14ac:dyDescent="0.25">
      <c r="S970" s="11">
        <v>952</v>
      </c>
      <c r="T970" s="4">
        <v>368.16067504600295</v>
      </c>
      <c r="U970" s="7">
        <v>0.3431128928021705</v>
      </c>
    </row>
    <row r="971" spans="19:21" x14ac:dyDescent="0.25">
      <c r="S971" s="11">
        <v>953</v>
      </c>
      <c r="T971" s="4">
        <v>307.32343459422532</v>
      </c>
      <c r="U971" s="7">
        <v>0.12116827038132616</v>
      </c>
    </row>
    <row r="972" spans="19:21" x14ac:dyDescent="0.25">
      <c r="S972" s="11">
        <v>954</v>
      </c>
      <c r="T972" s="4">
        <v>303.30667676560512</v>
      </c>
      <c r="U972" s="7">
        <v>0.1065144531961808</v>
      </c>
    </row>
    <row r="973" spans="19:21" x14ac:dyDescent="0.25">
      <c r="S973" s="11">
        <v>955</v>
      </c>
      <c r="T973" s="4">
        <v>303.62874470303058</v>
      </c>
      <c r="U973" s="7">
        <v>0.10768941192598058</v>
      </c>
    </row>
    <row r="974" spans="19:21" x14ac:dyDescent="0.25">
      <c r="S974" s="11">
        <v>956</v>
      </c>
      <c r="T974" s="4">
        <v>388.12293652786599</v>
      </c>
      <c r="U974" s="7">
        <v>0.41593862510622004</v>
      </c>
    </row>
    <row r="975" spans="19:21" x14ac:dyDescent="0.25">
      <c r="S975" s="11">
        <v>957</v>
      </c>
      <c r="T975" s="4">
        <v>331.35418569978123</v>
      </c>
      <c r="U975" s="7">
        <v>0.20883654627624382</v>
      </c>
    </row>
    <row r="976" spans="19:21" x14ac:dyDescent="0.25">
      <c r="S976" s="11">
        <v>958</v>
      </c>
      <c r="T976" s="4">
        <v>276.35508960376211</v>
      </c>
      <c r="U976" s="7">
        <v>8.1904695332606359E-3</v>
      </c>
    </row>
    <row r="977" spans="19:21" x14ac:dyDescent="0.25">
      <c r="S977" s="11">
        <v>959</v>
      </c>
      <c r="T977" s="4">
        <v>336.32209687225156</v>
      </c>
      <c r="U977" s="7">
        <v>0.22696033297673024</v>
      </c>
    </row>
    <row r="978" spans="19:21" x14ac:dyDescent="0.25">
      <c r="S978" s="11">
        <v>960</v>
      </c>
      <c r="T978" s="4">
        <v>298.0658177951355</v>
      </c>
      <c r="U978" s="7">
        <v>8.7394906406681683E-2</v>
      </c>
    </row>
    <row r="979" spans="19:21" x14ac:dyDescent="0.25">
      <c r="S979" s="11">
        <v>961</v>
      </c>
      <c r="T979" s="4">
        <v>330.01735376854293</v>
      </c>
      <c r="U979" s="7">
        <v>0.20395955553807932</v>
      </c>
    </row>
    <row r="980" spans="19:21" x14ac:dyDescent="0.25">
      <c r="S980" s="11">
        <v>962</v>
      </c>
      <c r="T980" s="4">
        <v>290.60291842414892</v>
      </c>
      <c r="U980" s="7">
        <v>6.0168977505924204E-2</v>
      </c>
    </row>
    <row r="981" spans="19:21" x14ac:dyDescent="0.25">
      <c r="S981" s="11">
        <v>963</v>
      </c>
      <c r="T981" s="4">
        <v>402.37471400415302</v>
      </c>
      <c r="U981" s="7">
        <v>0.46793153844862645</v>
      </c>
    </row>
    <row r="982" spans="19:21" x14ac:dyDescent="0.25">
      <c r="S982" s="11">
        <v>964</v>
      </c>
      <c r="T982" s="4">
        <v>202.30901027309713</v>
      </c>
      <c r="U982" s="7">
        <v>-0.26194224846559</v>
      </c>
    </row>
    <row r="983" spans="19:21" x14ac:dyDescent="0.25">
      <c r="S983" s="11">
        <v>965</v>
      </c>
      <c r="T983" s="4">
        <v>324.79321886011041</v>
      </c>
      <c r="U983" s="7">
        <v>0.1849010209773827</v>
      </c>
    </row>
    <row r="984" spans="19:21" x14ac:dyDescent="0.25">
      <c r="S984" s="11">
        <v>966</v>
      </c>
      <c r="T984" s="4">
        <v>302.26544029067855</v>
      </c>
      <c r="U984" s="7">
        <v>0.10271584506467679</v>
      </c>
    </row>
    <row r="985" spans="19:21" x14ac:dyDescent="0.25">
      <c r="S985" s="11">
        <v>967</v>
      </c>
      <c r="T985" s="4">
        <v>376.23648074921238</v>
      </c>
      <c r="U985" s="7">
        <v>0.37257480846817836</v>
      </c>
    </row>
    <row r="986" spans="19:21" x14ac:dyDescent="0.25">
      <c r="S986" s="11">
        <v>968</v>
      </c>
      <c r="T986" s="4">
        <v>217.51367079043084</v>
      </c>
      <c r="U986" s="7">
        <v>-0.20647305537765559</v>
      </c>
    </row>
    <row r="987" spans="19:21" x14ac:dyDescent="0.25">
      <c r="S987" s="11">
        <v>969</v>
      </c>
      <c r="T987" s="4">
        <v>328.18132842114107</v>
      </c>
      <c r="U987" s="7">
        <v>0.19726142213396458</v>
      </c>
    </row>
    <row r="988" spans="19:21" x14ac:dyDescent="0.25">
      <c r="S988" s="11">
        <v>970</v>
      </c>
      <c r="T988" s="4">
        <v>256.24598472732566</v>
      </c>
      <c r="U988" s="7">
        <v>-6.5170972502551328E-2</v>
      </c>
    </row>
    <row r="989" spans="19:21" x14ac:dyDescent="0.25">
      <c r="S989" s="11">
        <v>971</v>
      </c>
      <c r="T989" s="4">
        <v>347.9503971319125</v>
      </c>
      <c r="U989" s="7">
        <v>0.2693823542808087</v>
      </c>
    </row>
    <row r="990" spans="19:21" x14ac:dyDescent="0.25">
      <c r="S990" s="11">
        <v>972</v>
      </c>
      <c r="T990" s="4">
        <v>288.73708249722142</v>
      </c>
      <c r="U990" s="7">
        <v>5.3362090026709774E-2</v>
      </c>
    </row>
    <row r="991" spans="19:21" x14ac:dyDescent="0.25">
      <c r="S991" s="11">
        <v>973</v>
      </c>
      <c r="T991" s="4">
        <v>325.93464123763187</v>
      </c>
      <c r="U991" s="7">
        <v>0.18906512435749101</v>
      </c>
    </row>
    <row r="992" spans="19:21" x14ac:dyDescent="0.25">
      <c r="S992" s="11">
        <v>974</v>
      </c>
      <c r="T992" s="4">
        <v>359.72118082325778</v>
      </c>
      <c r="U992" s="7">
        <v>0.31232417942890733</v>
      </c>
    </row>
    <row r="993" spans="19:21" x14ac:dyDescent="0.25">
      <c r="S993" s="11">
        <v>975</v>
      </c>
      <c r="T993" s="4">
        <v>471.50929459536661</v>
      </c>
      <c r="U993" s="7">
        <v>0.7201462719177214</v>
      </c>
    </row>
    <row r="994" spans="19:21" x14ac:dyDescent="0.25">
      <c r="S994" s="11">
        <v>976</v>
      </c>
      <c r="T994" s="4">
        <v>334.32252526910014</v>
      </c>
      <c r="U994" s="7">
        <v>0.21966555495640483</v>
      </c>
    </row>
    <row r="995" spans="19:21" x14ac:dyDescent="0.25">
      <c r="S995" s="11">
        <v>977</v>
      </c>
      <c r="T995" s="4">
        <v>483.7116535494722</v>
      </c>
      <c r="U995" s="7">
        <v>0.76466255718314602</v>
      </c>
    </row>
    <row r="996" spans="19:21" x14ac:dyDescent="0.25">
      <c r="S996" s="11">
        <v>978</v>
      </c>
      <c r="T996" s="4">
        <v>370.55750628528978</v>
      </c>
      <c r="U996" s="7">
        <v>0.35185694168505255</v>
      </c>
    </row>
    <row r="997" spans="19:21" x14ac:dyDescent="0.25">
      <c r="S997" s="11">
        <v>979</v>
      </c>
      <c r="T997" s="4">
        <v>348.07284493538214</v>
      </c>
      <c r="U997" s="7">
        <v>0.26982906473817847</v>
      </c>
    </row>
    <row r="998" spans="19:21" x14ac:dyDescent="0.25">
      <c r="S998" s="11">
        <v>980</v>
      </c>
      <c r="T998" s="4">
        <v>293.91523701591603</v>
      </c>
      <c r="U998" s="7">
        <v>7.225288028862864E-2</v>
      </c>
    </row>
    <row r="999" spans="19:21" x14ac:dyDescent="0.25">
      <c r="S999" s="11">
        <v>981</v>
      </c>
      <c r="T999" s="4">
        <v>299.58859471759519</v>
      </c>
      <c r="U999" s="7">
        <v>9.2950256165755141E-2</v>
      </c>
    </row>
    <row r="1000" spans="19:21" x14ac:dyDescent="0.25">
      <c r="S1000" s="11">
        <v>982</v>
      </c>
      <c r="T1000" s="4">
        <v>416.91073627950976</v>
      </c>
      <c r="U1000" s="7">
        <v>0.52096142526543998</v>
      </c>
    </row>
    <row r="1001" spans="19:21" x14ac:dyDescent="0.25">
      <c r="S1001" s="11">
        <v>983</v>
      </c>
      <c r="T1001" s="4">
        <v>335.81226895518563</v>
      </c>
      <c r="U1001" s="7">
        <v>0.22510039383891733</v>
      </c>
    </row>
    <row r="1002" spans="19:21" x14ac:dyDescent="0.25">
      <c r="S1002" s="11">
        <v>984</v>
      </c>
      <c r="T1002" s="4">
        <v>402.67369373628725</v>
      </c>
      <c r="U1002" s="7">
        <v>0.46902226747031195</v>
      </c>
    </row>
    <row r="1003" spans="19:21" x14ac:dyDescent="0.25">
      <c r="S1003" s="11">
        <v>985</v>
      </c>
      <c r="T1003" s="4">
        <v>197.02600699024458</v>
      </c>
      <c r="U1003" s="7">
        <v>-0.28121554488984501</v>
      </c>
    </row>
    <row r="1004" spans="19:21" x14ac:dyDescent="0.25">
      <c r="S1004" s="11">
        <v>986</v>
      </c>
      <c r="T1004" s="4">
        <v>331.85151933840848</v>
      </c>
      <c r="U1004" s="7">
        <v>0.21065090415675636</v>
      </c>
    </row>
    <row r="1005" spans="19:21" x14ac:dyDescent="0.25">
      <c r="S1005" s="11">
        <v>987</v>
      </c>
      <c r="T1005" s="4">
        <v>247.64377265360895</v>
      </c>
      <c r="U1005" s="7">
        <v>-9.6553308330199816E-2</v>
      </c>
    </row>
    <row r="1006" spans="19:21" x14ac:dyDescent="0.25">
      <c r="S1006" s="11">
        <v>988</v>
      </c>
      <c r="T1006" s="4">
        <v>278.09856089999755</v>
      </c>
      <c r="U1006" s="7">
        <v>1.4550949983574313E-2</v>
      </c>
    </row>
    <row r="1007" spans="19:21" x14ac:dyDescent="0.25">
      <c r="S1007" s="11">
        <v>989</v>
      </c>
      <c r="T1007" s="4">
        <v>367.48957144713836</v>
      </c>
      <c r="U1007" s="7">
        <v>0.34066459248892178</v>
      </c>
    </row>
    <row r="1008" spans="19:21" x14ac:dyDescent="0.25">
      <c r="S1008" s="11">
        <v>990</v>
      </c>
      <c r="T1008" s="4">
        <v>265.7795935264125</v>
      </c>
      <c r="U1008" s="7">
        <v>-3.0390742671144833E-2</v>
      </c>
    </row>
    <row r="1009" spans="19:21" x14ac:dyDescent="0.25">
      <c r="S1009" s="11">
        <v>991</v>
      </c>
      <c r="T1009" s="4">
        <v>255.79658753840857</v>
      </c>
      <c r="U1009" s="7">
        <v>-6.681045004411168E-2</v>
      </c>
    </row>
    <row r="1010" spans="19:21" x14ac:dyDescent="0.25">
      <c r="S1010" s="11">
        <v>992</v>
      </c>
      <c r="T1010" s="4">
        <v>322.56844537343699</v>
      </c>
      <c r="U1010" s="7">
        <v>0.17678466810199178</v>
      </c>
    </row>
    <row r="1011" spans="19:21" x14ac:dyDescent="0.25">
      <c r="S1011" s="11">
        <v>993</v>
      </c>
      <c r="T1011" s="4">
        <v>323.75109550329717</v>
      </c>
      <c r="U1011" s="7">
        <v>0.1810991773495938</v>
      </c>
    </row>
    <row r="1012" spans="19:21" x14ac:dyDescent="0.25">
      <c r="S1012" s="11">
        <v>994</v>
      </c>
      <c r="T1012" s="4">
        <v>331.26186203575855</v>
      </c>
      <c r="U1012" s="7">
        <v>0.20849973381401088</v>
      </c>
    </row>
    <row r="1013" spans="19:21" x14ac:dyDescent="0.25">
      <c r="S1013" s="11">
        <v>995</v>
      </c>
      <c r="T1013" s="4">
        <v>298.83815321086604</v>
      </c>
      <c r="U1013" s="7">
        <v>9.0212517642063395E-2</v>
      </c>
    </row>
    <row r="1014" spans="19:21" x14ac:dyDescent="0.25">
      <c r="S1014" s="11">
        <v>996</v>
      </c>
      <c r="T1014" s="4">
        <v>326.64690208824135</v>
      </c>
      <c r="U1014" s="7">
        <v>0.19166357334005091</v>
      </c>
    </row>
    <row r="1015" spans="19:21" x14ac:dyDescent="0.25">
      <c r="S1015" s="11">
        <v>997</v>
      </c>
      <c r="T1015" s="4">
        <v>333.32903184066004</v>
      </c>
      <c r="U1015" s="7">
        <v>0.21604112159592881</v>
      </c>
    </row>
    <row r="1016" spans="19:21" x14ac:dyDescent="0.25">
      <c r="S1016" s="11">
        <v>998</v>
      </c>
      <c r="T1016" s="4">
        <v>411.98719791745708</v>
      </c>
      <c r="U1016" s="7">
        <v>0.5029995181403708</v>
      </c>
    </row>
    <row r="1017" spans="19:21" x14ac:dyDescent="0.25">
      <c r="S1017" s="11">
        <v>999</v>
      </c>
      <c r="T1017" s="4">
        <v>335.72678843660242</v>
      </c>
      <c r="U1017" s="7">
        <v>0.22478854633761047</v>
      </c>
    </row>
    <row r="1018" spans="19:21" x14ac:dyDescent="0.25">
      <c r="S1018" s="11">
        <v>1000</v>
      </c>
      <c r="T1018" s="4">
        <v>211.07730740448167</v>
      </c>
      <c r="U1018" s="7">
        <v>-0.22995400603961302</v>
      </c>
    </row>
  </sheetData>
  <sheetProtection sheet="1" objects="1" scenarios="1"/>
  <phoneticPr fontId="1" type="noConversion"/>
  <hyperlinks>
    <hyperlink ref="D2" location="TOC" display="Table of Contents" xr:uid="{79FDD3B7-9044-49CC-BFF3-8705451DCD99}"/>
  </hyperlink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EAC15-0C27-4890-B9B9-49A2A0D32568}">
  <sheetPr codeName="Sheet6">
    <tabColor theme="7" tint="0.39997558519241921"/>
  </sheetPr>
  <dimension ref="D2:U1018"/>
  <sheetViews>
    <sheetView showGridLines="0" workbookViewId="0"/>
  </sheetViews>
  <sheetFormatPr defaultRowHeight="15" x14ac:dyDescent="0.25"/>
  <cols>
    <col min="1" max="3" width="2.7109375" style="11" customWidth="1"/>
    <col min="4" max="4" width="17.42578125" style="11" bestFit="1" customWidth="1"/>
    <col min="5" max="5" width="13.7109375" style="11" customWidth="1"/>
    <col min="6" max="6" width="9.7109375" style="11" bestFit="1" customWidth="1"/>
    <col min="7" max="7" width="11.5703125" style="11" bestFit="1" customWidth="1"/>
    <col min="8" max="8" width="17.42578125" style="11" bestFit="1" customWidth="1"/>
    <col min="9" max="11" width="2" style="11" customWidth="1"/>
    <col min="12" max="12" width="9.140625" style="11"/>
    <col min="13" max="13" width="10" style="11" bestFit="1" customWidth="1"/>
    <col min="14" max="14" width="9.140625" style="11"/>
    <col min="15" max="15" width="13.85546875" style="11" bestFit="1" customWidth="1"/>
    <col min="16" max="16" width="9.140625" style="11"/>
    <col min="17" max="18" width="2.7109375" style="11" customWidth="1"/>
    <col min="19" max="20" width="9.28515625" style="11" customWidth="1"/>
    <col min="21" max="21" width="13.85546875" style="11" bestFit="1" customWidth="1"/>
    <col min="22" max="16384" width="9.140625" style="11"/>
  </cols>
  <sheetData>
    <row r="2" spans="4:19" x14ac:dyDescent="0.25">
      <c r="D2" s="54" t="s">
        <v>64</v>
      </c>
    </row>
    <row r="4" spans="4:19" ht="18.75" x14ac:dyDescent="0.3">
      <c r="D4" s="64" t="str">
        <f ca="1">MID(CELL("filename",A1),FIND("]",CELL("filename",A1))+1,255)</f>
        <v>IHI</v>
      </c>
    </row>
    <row r="6" spans="4:19" x14ac:dyDescent="0.25">
      <c r="D6" s="40" t="s">
        <v>21</v>
      </c>
      <c r="E6" s="40"/>
      <c r="F6" s="40"/>
      <c r="G6" s="40"/>
      <c r="H6" s="40"/>
      <c r="L6" s="40" t="s">
        <v>25</v>
      </c>
      <c r="M6" s="43"/>
      <c r="N6" s="40" t="s">
        <v>12</v>
      </c>
      <c r="O6" s="40" t="s">
        <v>13</v>
      </c>
    </row>
    <row r="7" spans="4:19" x14ac:dyDescent="0.25">
      <c r="D7" s="11" t="s">
        <v>24</v>
      </c>
      <c r="H7" s="80">
        <f>Assumptions!F19</f>
        <v>12</v>
      </c>
      <c r="L7" s="11" t="s">
        <v>14</v>
      </c>
      <c r="N7" s="4">
        <f>AVERAGE(T19:T1018)</f>
        <v>76.201114256677968</v>
      </c>
      <c r="O7" s="7">
        <f>AVERAGE(U19:U1018)</f>
        <v>0.24005067952283043</v>
      </c>
    </row>
    <row r="8" spans="4:19" x14ac:dyDescent="0.25">
      <c r="D8" s="11" t="s">
        <v>15</v>
      </c>
      <c r="H8" s="48">
        <f>MAX(S19:S2018)</f>
        <v>1000</v>
      </c>
      <c r="L8" s="11" t="s">
        <v>30</v>
      </c>
      <c r="N8" s="4">
        <f>MIN($T$19:$T$1018)</f>
        <v>45.697658257345353</v>
      </c>
      <c r="O8" s="7">
        <f>MIN($U$19:$U$1018)</f>
        <v>-0.25634404788697562</v>
      </c>
    </row>
    <row r="9" spans="4:19" x14ac:dyDescent="0.25">
      <c r="D9" s="41" t="s">
        <v>16</v>
      </c>
      <c r="G9" s="45">
        <v>44578</v>
      </c>
      <c r="H9" s="38">
        <v>61.45</v>
      </c>
      <c r="L9" s="11" t="s">
        <v>31</v>
      </c>
      <c r="N9" s="4">
        <f>MAX($T$19:$T$1018)</f>
        <v>121.38886846695526</v>
      </c>
      <c r="O9" s="7">
        <f>MAX($U$19:$U$1018)</f>
        <v>0.9754087626843817</v>
      </c>
    </row>
    <row r="10" spans="4:19" x14ac:dyDescent="0.25">
      <c r="D10" s="11" t="s">
        <v>19</v>
      </c>
      <c r="H10" s="46">
        <v>0</v>
      </c>
      <c r="L10" s="11" t="s">
        <v>27</v>
      </c>
      <c r="N10" s="4">
        <f>_xlfn.STDEV.S(T19:T1018)</f>
        <v>11.871687100156755</v>
      </c>
      <c r="O10" s="7">
        <f>_xlfn.STDEV.S(U19:U1018)</f>
        <v>0.193192629782863</v>
      </c>
    </row>
    <row r="12" spans="4:19" x14ac:dyDescent="0.25">
      <c r="D12" s="11" t="s">
        <v>22</v>
      </c>
      <c r="H12" s="4">
        <f>IF(H10&gt;0,H9*(1-H10),H9)</f>
        <v>61.45</v>
      </c>
      <c r="L12" s="11" t="s">
        <v>28</v>
      </c>
      <c r="O12" s="49">
        <f>COUNTIF($U$19:$U$1018,"&gt;0")/$H$8</f>
        <v>0.90900000000000003</v>
      </c>
    </row>
    <row r="13" spans="4:19" x14ac:dyDescent="0.25">
      <c r="D13" s="11" t="s">
        <v>23</v>
      </c>
      <c r="H13" s="4">
        <f ca="1">P29</f>
        <v>55.439843867836707</v>
      </c>
      <c r="L13" s="11" t="s">
        <v>29</v>
      </c>
      <c r="O13" s="49">
        <f>COUNTIF($U$19:$U$1018,"&lt;0")/$H$8</f>
        <v>9.0999999999999998E-2</v>
      </c>
    </row>
    <row r="14" spans="4:19" x14ac:dyDescent="0.25">
      <c r="D14" s="41" t="s">
        <v>36</v>
      </c>
      <c r="H14" s="4">
        <f ca="1">IF(H10&lt;0,H13+(H10*H9),H13)</f>
        <v>55.439843867836707</v>
      </c>
    </row>
    <row r="16" spans="4:19" x14ac:dyDescent="0.25">
      <c r="L16" s="20" t="s">
        <v>20</v>
      </c>
      <c r="S16" s="20" t="s">
        <v>35</v>
      </c>
    </row>
    <row r="17" spans="4:21" x14ac:dyDescent="0.25">
      <c r="D17" s="47" t="s">
        <v>0</v>
      </c>
      <c r="E17" s="47" t="s">
        <v>10</v>
      </c>
      <c r="F17" s="47" t="s">
        <v>1</v>
      </c>
      <c r="G17" s="47" t="s">
        <v>2</v>
      </c>
      <c r="H17" s="47" t="s">
        <v>3</v>
      </c>
      <c r="L17" s="51" t="s">
        <v>9</v>
      </c>
      <c r="M17" s="52" t="s">
        <v>17</v>
      </c>
      <c r="N17" s="52" t="s">
        <v>10</v>
      </c>
      <c r="O17" s="52" t="s">
        <v>11</v>
      </c>
      <c r="P17" s="52" t="s">
        <v>18</v>
      </c>
      <c r="R17" s="32"/>
      <c r="S17" s="52" t="s">
        <v>26</v>
      </c>
      <c r="T17" s="52" t="s">
        <v>12</v>
      </c>
      <c r="U17" s="52" t="s">
        <v>13</v>
      </c>
    </row>
    <row r="18" spans="4:21" x14ac:dyDescent="0.25">
      <c r="D18" s="47" t="s">
        <v>6</v>
      </c>
      <c r="E18" s="47">
        <v>1</v>
      </c>
      <c r="F18" s="25">
        <v>44562</v>
      </c>
      <c r="G18" s="23">
        <v>63.12</v>
      </c>
      <c r="H18" s="34">
        <v>-4.0262741758910203E-2</v>
      </c>
      <c r="L18" s="11">
        <v>1</v>
      </c>
      <c r="M18" s="1">
        <f>H12</f>
        <v>61.45</v>
      </c>
      <c r="N18" s="1">
        <f ca="1">RANDBETWEEN(1,MAX(IHI[Scenario]))</f>
        <v>35</v>
      </c>
      <c r="O18" s="7">
        <f ca="1">INDEX(IHI[Monthly Return],MATCH(N18,IHI[Scenario],0))</f>
        <v>2.356297690003939E-2</v>
      </c>
      <c r="P18" s="4">
        <f ca="1">(1+O18)*M18</f>
        <v>62.897944930507421</v>
      </c>
      <c r="S18" s="32"/>
      <c r="T18" s="6">
        <f ca="1">$H$14</f>
        <v>55.439843867836707</v>
      </c>
      <c r="U18" s="53">
        <f ca="1">$H$14/$H$12-1</f>
        <v>-9.7805632744724091E-2</v>
      </c>
    </row>
    <row r="19" spans="4:21" x14ac:dyDescent="0.25">
      <c r="D19" s="47" t="s">
        <v>6</v>
      </c>
      <c r="E19" s="47">
        <v>2</v>
      </c>
      <c r="F19" s="25">
        <v>44531</v>
      </c>
      <c r="G19" s="23">
        <v>65.768000000000001</v>
      </c>
      <c r="H19" s="34">
        <v>6.5878375640770148E-2</v>
      </c>
      <c r="L19" s="11">
        <v>2</v>
      </c>
      <c r="M19" s="4">
        <f ca="1">P18</f>
        <v>62.897944930507421</v>
      </c>
      <c r="N19" s="1">
        <f ca="1">RANDBETWEEN(1,MAX(IHI[Scenario]))</f>
        <v>20</v>
      </c>
      <c r="O19" s="7">
        <f ca="1">INDEX(IHI[Monthly Return],MATCH(N19,IHI[Scenario],0))</f>
        <v>-1.3930824392085039E-2</v>
      </c>
      <c r="P19" s="4">
        <f ca="1">(1+O19)*M19</f>
        <v>62.021724705057487</v>
      </c>
      <c r="S19" s="11">
        <v>1</v>
      </c>
      <c r="T19" s="4">
        <f t="dataTable" ref="T19:U1018" dt2D="0" dtr="0" r1="R17" ca="1"/>
        <v>102.00183995606801</v>
      </c>
      <c r="U19" s="7">
        <v>0.65991602857718479</v>
      </c>
    </row>
    <row r="20" spans="4:21" x14ac:dyDescent="0.25">
      <c r="D20" s="47" t="s">
        <v>6</v>
      </c>
      <c r="E20" s="47">
        <v>3</v>
      </c>
      <c r="F20" s="25">
        <v>44501</v>
      </c>
      <c r="G20" s="23">
        <v>61.703099999999999</v>
      </c>
      <c r="H20" s="34">
        <v>-5.5639477490300515E-2</v>
      </c>
      <c r="L20" s="11">
        <v>3</v>
      </c>
      <c r="M20" s="4">
        <f t="shared" ref="M20:M29" ca="1" si="0">P19</f>
        <v>62.021724705057487</v>
      </c>
      <c r="N20" s="1">
        <f ca="1">RANDBETWEEN(1,MAX(IHI[Scenario]))</f>
        <v>36</v>
      </c>
      <c r="O20" s="7">
        <f ca="1">INDEX(IHI[Monthly Return],MATCH(N20,IHI[Scenario],0))</f>
        <v>5.0040609165586947E-2</v>
      </c>
      <c r="P20" s="4">
        <f t="shared" ref="P20:P29" ca="1" si="1">(1+O20)*M20</f>
        <v>65.125329590798898</v>
      </c>
      <c r="S20" s="11">
        <v>2</v>
      </c>
      <c r="T20" s="4">
        <v>74.743495339912968</v>
      </c>
      <c r="U20" s="7">
        <v>0.2163302740425217</v>
      </c>
    </row>
    <row r="21" spans="4:21" x14ac:dyDescent="0.25">
      <c r="D21" s="47" t="s">
        <v>6</v>
      </c>
      <c r="E21" s="47">
        <v>4</v>
      </c>
      <c r="F21" s="25">
        <v>44470</v>
      </c>
      <c r="G21" s="23">
        <v>65.338499999999996</v>
      </c>
      <c r="H21" s="34">
        <v>4.2506988499291465E-2</v>
      </c>
      <c r="L21" s="11">
        <v>4</v>
      </c>
      <c r="M21" s="4">
        <f t="shared" ca="1" si="0"/>
        <v>65.125329590798898</v>
      </c>
      <c r="N21" s="1">
        <f ca="1">RANDBETWEEN(1,MAX(IHI[Scenario]))</f>
        <v>57</v>
      </c>
      <c r="O21" s="7">
        <f ca="1">INDEX(IHI[Monthly Return],MATCH(N21,IHI[Scenario],0))</f>
        <v>1.9401026591022941E-2</v>
      </c>
      <c r="P21" s="4">
        <f t="shared" ca="1" si="1"/>
        <v>66.388827841939118</v>
      </c>
      <c r="S21" s="11">
        <v>3</v>
      </c>
      <c r="T21" s="4">
        <v>84.356684157166796</v>
      </c>
      <c r="U21" s="7">
        <v>0.37276947367236435</v>
      </c>
    </row>
    <row r="22" spans="4:21" x14ac:dyDescent="0.25">
      <c r="D22" s="47" t="s">
        <v>6</v>
      </c>
      <c r="E22" s="47">
        <v>5</v>
      </c>
      <c r="F22" s="25">
        <v>44440</v>
      </c>
      <c r="G22" s="23">
        <v>62.674399999999999</v>
      </c>
      <c r="H22" s="34">
        <v>-4.2696086892104357E-2</v>
      </c>
      <c r="L22" s="11">
        <v>5</v>
      </c>
      <c r="M22" s="4">
        <f t="shared" ca="1" si="0"/>
        <v>66.388827841939118</v>
      </c>
      <c r="N22" s="1">
        <f ca="1">RANDBETWEEN(1,MAX(IHI[Scenario]))</f>
        <v>27</v>
      </c>
      <c r="O22" s="7">
        <f ca="1">INDEX(IHI[Monthly Return],MATCH(N22,IHI[Scenario],0))</f>
        <v>4.3232412422950839E-2</v>
      </c>
      <c r="P22" s="4">
        <f t="shared" ca="1" si="1"/>
        <v>69.25897702747811</v>
      </c>
      <c r="S22" s="11">
        <v>4</v>
      </c>
      <c r="T22" s="4">
        <v>77.339707312099463</v>
      </c>
      <c r="U22" s="7">
        <v>0.25857945178355513</v>
      </c>
    </row>
    <row r="23" spans="4:21" x14ac:dyDescent="0.25">
      <c r="D23" s="47" t="s">
        <v>6</v>
      </c>
      <c r="E23" s="47">
        <v>6</v>
      </c>
      <c r="F23" s="25">
        <v>44409</v>
      </c>
      <c r="G23" s="23">
        <v>65.469700000000003</v>
      </c>
      <c r="H23" s="34">
        <v>3.0159079823139923E-2</v>
      </c>
      <c r="L23" s="11">
        <v>6</v>
      </c>
      <c r="M23" s="4">
        <f t="shared" ca="1" si="0"/>
        <v>69.25897702747811</v>
      </c>
      <c r="N23" s="1">
        <f ca="1">RANDBETWEEN(1,MAX(IHI[Scenario]))</f>
        <v>23</v>
      </c>
      <c r="O23" s="7">
        <f ca="1">INDEX(IHI[Monthly Return],MATCH(N23,IHI[Scenario],0))</f>
        <v>-6.6912798786991634E-2</v>
      </c>
      <c r="P23" s="4">
        <f t="shared" ca="1" si="1"/>
        <v>64.624665033445595</v>
      </c>
      <c r="S23" s="11">
        <v>5</v>
      </c>
      <c r="T23" s="4">
        <v>62.574016906791826</v>
      </c>
      <c r="U23" s="7">
        <v>1.8291568865611341E-2</v>
      </c>
    </row>
    <row r="24" spans="4:21" x14ac:dyDescent="0.25">
      <c r="D24" s="47" t="s">
        <v>6</v>
      </c>
      <c r="E24" s="47">
        <v>7</v>
      </c>
      <c r="F24" s="25">
        <v>44378</v>
      </c>
      <c r="G24" s="23">
        <v>63.552999999999997</v>
      </c>
      <c r="H24" s="34">
        <v>5.889546837459303E-2</v>
      </c>
      <c r="L24" s="11">
        <v>7</v>
      </c>
      <c r="M24" s="4">
        <f t="shared" ca="1" si="0"/>
        <v>64.624665033445595</v>
      </c>
      <c r="N24" s="1">
        <f ca="1">RANDBETWEEN(1,MAX(IHI[Scenario]))</f>
        <v>23</v>
      </c>
      <c r="O24" s="7">
        <f ca="1">INDEX(IHI[Monthly Return],MATCH(N24,IHI[Scenario],0))</f>
        <v>-6.6912798786991634E-2</v>
      </c>
      <c r="P24" s="4">
        <f t="shared" ca="1" si="1"/>
        <v>60.300447825385916</v>
      </c>
      <c r="S24" s="11">
        <v>6</v>
      </c>
      <c r="T24" s="4">
        <v>78.064411209766789</v>
      </c>
      <c r="U24" s="7">
        <v>0.2703728431206962</v>
      </c>
    </row>
    <row r="25" spans="4:21" x14ac:dyDescent="0.25">
      <c r="D25" s="47" t="s">
        <v>6</v>
      </c>
      <c r="E25" s="47">
        <v>8</v>
      </c>
      <c r="F25" s="25">
        <v>44348</v>
      </c>
      <c r="G25" s="23">
        <v>60.0182</v>
      </c>
      <c r="H25" s="34">
        <v>4.3167068164200462E-2</v>
      </c>
      <c r="L25" s="11">
        <v>8</v>
      </c>
      <c r="M25" s="4">
        <f t="shared" ca="1" si="0"/>
        <v>60.300447825385916</v>
      </c>
      <c r="N25" s="1">
        <f ca="1">RANDBETWEEN(1,MAX(IHI[Scenario]))</f>
        <v>59</v>
      </c>
      <c r="O25" s="7">
        <f ca="1">INDEX(IHI[Monthly Return],MATCH(N25,IHI[Scenario],0))</f>
        <v>1.3044187184086065E-2</v>
      </c>
      <c r="P25" s="4">
        <f t="shared" ca="1" si="1"/>
        <v>61.087018154104463</v>
      </c>
      <c r="S25" s="11">
        <v>7</v>
      </c>
      <c r="T25" s="4">
        <v>74.394545206492495</v>
      </c>
      <c r="U25" s="7">
        <v>0.21065167138311613</v>
      </c>
    </row>
    <row r="26" spans="4:21" x14ac:dyDescent="0.25">
      <c r="D26" s="47" t="s">
        <v>6</v>
      </c>
      <c r="E26" s="47">
        <v>9</v>
      </c>
      <c r="F26" s="25">
        <v>44317</v>
      </c>
      <c r="G26" s="23">
        <v>57.534599999999998</v>
      </c>
      <c r="H26" s="34">
        <v>-2.3448598939848408E-2</v>
      </c>
      <c r="L26" s="11">
        <v>9</v>
      </c>
      <c r="M26" s="4">
        <f t="shared" ca="1" si="0"/>
        <v>61.087018154104463</v>
      </c>
      <c r="N26" s="1">
        <f ca="1">RANDBETWEEN(1,MAX(IHI[Scenario]))</f>
        <v>24</v>
      </c>
      <c r="O26" s="7">
        <f ca="1">INDEX(IHI[Monthly Return],MATCH(N26,IHI[Scenario],0))</f>
        <v>-8.7263822927900359E-2</v>
      </c>
      <c r="P26" s="4">
        <f t="shared" ca="1" si="1"/>
        <v>55.756331418711255</v>
      </c>
      <c r="S26" s="11">
        <v>8</v>
      </c>
      <c r="T26" s="4">
        <v>63.832426536202505</v>
      </c>
      <c r="U26" s="7">
        <v>3.8770163323067486E-2</v>
      </c>
    </row>
    <row r="27" spans="4:21" x14ac:dyDescent="0.25">
      <c r="D27" s="47" t="s">
        <v>6</v>
      </c>
      <c r="E27" s="47">
        <v>10</v>
      </c>
      <c r="F27" s="25">
        <v>44287</v>
      </c>
      <c r="G27" s="23">
        <v>58.9161</v>
      </c>
      <c r="H27" s="34">
        <v>7.2873550241012053E-2</v>
      </c>
      <c r="L27" s="11">
        <v>10</v>
      </c>
      <c r="M27" s="4">
        <f t="shared" ca="1" si="0"/>
        <v>55.756331418711255</v>
      </c>
      <c r="N27" s="1">
        <f ca="1">RANDBETWEEN(1,MAX(IHI[Scenario]))</f>
        <v>3</v>
      </c>
      <c r="O27" s="7">
        <f ca="1">INDEX(IHI[Monthly Return],MATCH(N27,IHI[Scenario],0))</f>
        <v>-5.5639477490300515E-2</v>
      </c>
      <c r="P27" s="4">
        <f t="shared" ca="1" si="1"/>
        <v>52.654078271798134</v>
      </c>
      <c r="S27" s="11">
        <v>9</v>
      </c>
      <c r="T27" s="4">
        <v>76.690075855833939</v>
      </c>
      <c r="U27" s="7">
        <v>0.24800774378899804</v>
      </c>
    </row>
    <row r="28" spans="4:21" x14ac:dyDescent="0.25">
      <c r="D28" s="47" t="s">
        <v>6</v>
      </c>
      <c r="E28" s="47">
        <v>11</v>
      </c>
      <c r="F28" s="25">
        <v>44256</v>
      </c>
      <c r="G28" s="23">
        <v>54.914299999999997</v>
      </c>
      <c r="H28" s="34">
        <v>2.9441255380973086E-3</v>
      </c>
      <c r="L28" s="11">
        <v>11</v>
      </c>
      <c r="M28" s="4">
        <f t="shared" ca="1" si="0"/>
        <v>52.654078271798134</v>
      </c>
      <c r="N28" s="1">
        <f ca="1">RANDBETWEEN(1,MAX(IHI[Scenario]))</f>
        <v>25</v>
      </c>
      <c r="O28" s="7">
        <f ca="1">INDEX(IHI[Monthly Return],MATCH(N28,IHI[Scenario],0))</f>
        <v>2.7297231182858983E-3</v>
      </c>
      <c r="P28" s="4">
        <f t="shared" ca="1" si="1"/>
        <v>52.7978093265287</v>
      </c>
      <c r="S28" s="11">
        <v>10</v>
      </c>
      <c r="T28" s="4">
        <v>65.669171685079661</v>
      </c>
      <c r="U28" s="7">
        <v>6.8660238976072652E-2</v>
      </c>
    </row>
    <row r="29" spans="4:21" x14ac:dyDescent="0.25">
      <c r="D29" s="47" t="s">
        <v>6</v>
      </c>
      <c r="E29" s="47">
        <v>12</v>
      </c>
      <c r="F29" s="25">
        <v>44228</v>
      </c>
      <c r="G29" s="23">
        <v>54.753100000000003</v>
      </c>
      <c r="H29" s="34">
        <v>-1.2115558795191883E-2</v>
      </c>
      <c r="L29" s="11">
        <v>12</v>
      </c>
      <c r="M29" s="4">
        <f t="shared" ca="1" si="0"/>
        <v>52.7978093265287</v>
      </c>
      <c r="N29" s="1">
        <f ca="1">RANDBETWEEN(1,MAX(IHI[Scenario]))</f>
        <v>36</v>
      </c>
      <c r="O29" s="7">
        <f ca="1">INDEX(IHI[Monthly Return],MATCH(N29,IHI[Scenario],0))</f>
        <v>5.0040609165586947E-2</v>
      </c>
      <c r="P29" s="4">
        <f t="shared" ca="1" si="1"/>
        <v>55.439843867836707</v>
      </c>
      <c r="S29" s="11">
        <v>11</v>
      </c>
      <c r="T29" s="4">
        <v>71.439977067767728</v>
      </c>
      <c r="U29" s="7">
        <v>0.16257082290915736</v>
      </c>
    </row>
    <row r="30" spans="4:21" x14ac:dyDescent="0.25">
      <c r="D30" s="47" t="s">
        <v>6</v>
      </c>
      <c r="E30" s="47">
        <v>13</v>
      </c>
      <c r="F30" s="25">
        <v>44197</v>
      </c>
      <c r="G30" s="23">
        <v>55.424599999999998</v>
      </c>
      <c r="H30" s="34">
        <v>2.0038354086992394E-2</v>
      </c>
      <c r="S30" s="11">
        <v>12</v>
      </c>
      <c r="T30" s="4">
        <v>54.241044498630551</v>
      </c>
      <c r="U30" s="7">
        <v>-0.11731416601089428</v>
      </c>
    </row>
    <row r="31" spans="4:21" x14ac:dyDescent="0.25">
      <c r="D31" s="47" t="s">
        <v>6</v>
      </c>
      <c r="E31" s="47">
        <v>14</v>
      </c>
      <c r="F31" s="25">
        <v>44166</v>
      </c>
      <c r="G31" s="23">
        <v>54.335799999999999</v>
      </c>
      <c r="H31" s="34">
        <v>4.4985547159723582E-2</v>
      </c>
      <c r="S31" s="11">
        <v>13</v>
      </c>
      <c r="T31" s="4">
        <v>72.585285153353198</v>
      </c>
      <c r="U31" s="7">
        <v>0.18120887149476306</v>
      </c>
    </row>
    <row r="32" spans="4:21" x14ac:dyDescent="0.25">
      <c r="D32" s="47" t="s">
        <v>6</v>
      </c>
      <c r="E32" s="47">
        <v>15</v>
      </c>
      <c r="F32" s="25">
        <v>44136</v>
      </c>
      <c r="G32" s="23">
        <v>51.996699999999997</v>
      </c>
      <c r="H32" s="34">
        <v>5.0476582986856089E-2</v>
      </c>
      <c r="S32" s="11">
        <v>14</v>
      </c>
      <c r="T32" s="4">
        <v>102.09554890392882</v>
      </c>
      <c r="U32" s="7">
        <v>0.66144099111356902</v>
      </c>
    </row>
    <row r="33" spans="4:21" x14ac:dyDescent="0.25">
      <c r="D33" s="47" t="s">
        <v>6</v>
      </c>
      <c r="E33" s="47">
        <v>16</v>
      </c>
      <c r="F33" s="25">
        <v>44105</v>
      </c>
      <c r="G33" s="23">
        <v>49.498199999999997</v>
      </c>
      <c r="H33" s="34">
        <v>-4.1986122650979896E-3</v>
      </c>
      <c r="S33" s="11">
        <v>15</v>
      </c>
      <c r="T33" s="4">
        <v>81.932666607874253</v>
      </c>
      <c r="U33" s="7">
        <v>0.33332248344791293</v>
      </c>
    </row>
    <row r="34" spans="4:21" x14ac:dyDescent="0.25">
      <c r="D34" s="47" t="s">
        <v>6</v>
      </c>
      <c r="E34" s="47">
        <v>17</v>
      </c>
      <c r="F34" s="25">
        <v>44075</v>
      </c>
      <c r="G34" s="23">
        <v>49.706899999999997</v>
      </c>
      <c r="H34" s="34">
        <v>-1.4051289985381521E-2</v>
      </c>
      <c r="S34" s="11">
        <v>16</v>
      </c>
      <c r="T34" s="4">
        <v>81.092240032805591</v>
      </c>
      <c r="U34" s="7">
        <v>0.31964589150212519</v>
      </c>
    </row>
    <row r="35" spans="4:21" x14ac:dyDescent="0.25">
      <c r="D35" s="47" t="s">
        <v>6</v>
      </c>
      <c r="E35" s="47">
        <v>18</v>
      </c>
      <c r="F35" s="25">
        <v>44044</v>
      </c>
      <c r="G35" s="23">
        <v>50.415300000000002</v>
      </c>
      <c r="H35" s="34">
        <v>3.6989119032437401E-2</v>
      </c>
      <c r="S35" s="11">
        <v>17</v>
      </c>
      <c r="T35" s="4">
        <v>59.232100577683582</v>
      </c>
      <c r="U35" s="7">
        <v>-3.609274893924197E-2</v>
      </c>
    </row>
    <row r="36" spans="4:21" x14ac:dyDescent="0.25">
      <c r="D36" s="47" t="s">
        <v>6</v>
      </c>
      <c r="E36" s="47">
        <v>19</v>
      </c>
      <c r="F36" s="25">
        <v>44013</v>
      </c>
      <c r="G36" s="23">
        <v>48.616999999999997</v>
      </c>
      <c r="H36" s="34">
        <v>0.10763293212766589</v>
      </c>
      <c r="S36" s="11">
        <v>18</v>
      </c>
      <c r="T36" s="4">
        <v>68.651507338028409</v>
      </c>
      <c r="U36" s="7">
        <v>0.11719295912169914</v>
      </c>
    </row>
    <row r="37" spans="4:21" x14ac:dyDescent="0.25">
      <c r="D37" s="47" t="s">
        <v>6</v>
      </c>
      <c r="E37" s="47">
        <v>20</v>
      </c>
      <c r="F37" s="25">
        <v>43983</v>
      </c>
      <c r="G37" s="23">
        <v>43.892699999999998</v>
      </c>
      <c r="H37" s="34">
        <v>-1.3930824392085039E-2</v>
      </c>
      <c r="S37" s="11">
        <v>19</v>
      </c>
      <c r="T37" s="4">
        <v>61.603230392555957</v>
      </c>
      <c r="U37" s="7">
        <v>2.4935783979813664E-3</v>
      </c>
    </row>
    <row r="38" spans="4:21" x14ac:dyDescent="0.25">
      <c r="D38" s="47" t="s">
        <v>6</v>
      </c>
      <c r="E38" s="47">
        <v>21</v>
      </c>
      <c r="F38" s="25">
        <v>43952</v>
      </c>
      <c r="G38" s="23">
        <v>44.512799999999999</v>
      </c>
      <c r="H38" s="34">
        <v>4.3043028969512065E-2</v>
      </c>
      <c r="S38" s="11">
        <v>20</v>
      </c>
      <c r="T38" s="4">
        <v>103.50881667963233</v>
      </c>
      <c r="U38" s="7">
        <v>0.68443965304527787</v>
      </c>
    </row>
    <row r="39" spans="4:21" x14ac:dyDescent="0.25">
      <c r="D39" s="47" t="s">
        <v>6</v>
      </c>
      <c r="E39" s="47">
        <v>22</v>
      </c>
      <c r="F39" s="25">
        <v>43922</v>
      </c>
      <c r="G39" s="23">
        <v>42.675899999999999</v>
      </c>
      <c r="H39" s="34">
        <v>0.14247202441505591</v>
      </c>
      <c r="S39" s="11">
        <v>21</v>
      </c>
      <c r="T39" s="4">
        <v>66.73048221248213</v>
      </c>
      <c r="U39" s="7">
        <v>8.593136228612086E-2</v>
      </c>
    </row>
    <row r="40" spans="4:21" x14ac:dyDescent="0.25">
      <c r="D40" s="47" t="s">
        <v>6</v>
      </c>
      <c r="E40" s="47">
        <v>23</v>
      </c>
      <c r="F40" s="25">
        <v>43891</v>
      </c>
      <c r="G40" s="23">
        <v>37.353999999999999</v>
      </c>
      <c r="H40" s="34">
        <v>-6.6912798786991634E-2</v>
      </c>
      <c r="S40" s="11">
        <v>22</v>
      </c>
      <c r="T40" s="4">
        <v>96.24749085274297</v>
      </c>
      <c r="U40" s="7">
        <v>0.56627324414553248</v>
      </c>
    </row>
    <row r="41" spans="4:21" x14ac:dyDescent="0.25">
      <c r="D41" s="47" t="s">
        <v>6</v>
      </c>
      <c r="E41" s="47">
        <v>24</v>
      </c>
      <c r="F41" s="25">
        <v>43862</v>
      </c>
      <c r="G41" s="23">
        <v>40.032699999999998</v>
      </c>
      <c r="H41" s="34">
        <v>-8.7263822927900359E-2</v>
      </c>
      <c r="S41" s="11">
        <v>23</v>
      </c>
      <c r="T41" s="4">
        <v>68.895084329481548</v>
      </c>
      <c r="U41" s="7">
        <v>0.12115678322996826</v>
      </c>
    </row>
    <row r="42" spans="4:21" x14ac:dyDescent="0.25">
      <c r="D42" s="47" t="s">
        <v>6</v>
      </c>
      <c r="E42" s="47">
        <v>25</v>
      </c>
      <c r="F42" s="25">
        <v>43831</v>
      </c>
      <c r="G42" s="23">
        <v>43.860100000000003</v>
      </c>
      <c r="H42" s="34">
        <v>2.7297231182858983E-3</v>
      </c>
      <c r="S42" s="11">
        <v>24</v>
      </c>
      <c r="T42" s="4">
        <v>59.302061357565748</v>
      </c>
      <c r="U42" s="7">
        <v>-3.4954249673462279E-2</v>
      </c>
    </row>
    <row r="43" spans="4:21" x14ac:dyDescent="0.25">
      <c r="D43" s="47" t="s">
        <v>6</v>
      </c>
      <c r="E43" s="47">
        <v>26</v>
      </c>
      <c r="F43" s="25">
        <v>43800</v>
      </c>
      <c r="G43" s="23">
        <v>43.740699999999997</v>
      </c>
      <c r="H43" s="34">
        <v>1.7086027731078701E-2</v>
      </c>
      <c r="S43" s="11">
        <v>25</v>
      </c>
      <c r="T43" s="4">
        <v>74.398391892938733</v>
      </c>
      <c r="U43" s="7">
        <v>0.21071427002341303</v>
      </c>
    </row>
    <row r="44" spans="4:21" x14ac:dyDescent="0.25">
      <c r="D44" s="47" t="s">
        <v>6</v>
      </c>
      <c r="E44" s="47">
        <v>27</v>
      </c>
      <c r="F44" s="25">
        <v>43770</v>
      </c>
      <c r="G44" s="23">
        <v>43.005899999999997</v>
      </c>
      <c r="H44" s="34">
        <v>4.3232412422950839E-2</v>
      </c>
      <c r="S44" s="11">
        <v>26</v>
      </c>
      <c r="T44" s="4">
        <v>80.61832888815546</v>
      </c>
      <c r="U44" s="7">
        <v>0.3119337491969969</v>
      </c>
    </row>
    <row r="45" spans="4:21" x14ac:dyDescent="0.25">
      <c r="D45" s="47" t="s">
        <v>6</v>
      </c>
      <c r="E45" s="47">
        <v>28</v>
      </c>
      <c r="F45" s="25">
        <v>43739</v>
      </c>
      <c r="G45" s="23">
        <v>41.223700000000001</v>
      </c>
      <c r="H45" s="34">
        <v>8.3261380563701692E-3</v>
      </c>
      <c r="S45" s="11">
        <v>27</v>
      </c>
      <c r="T45" s="4">
        <v>112.76566342838845</v>
      </c>
      <c r="U45" s="7">
        <v>0.83507995815115454</v>
      </c>
    </row>
    <row r="46" spans="4:21" x14ac:dyDescent="0.25">
      <c r="D46" s="47" t="s">
        <v>6</v>
      </c>
      <c r="E46" s="47">
        <v>29</v>
      </c>
      <c r="F46" s="25">
        <v>43709</v>
      </c>
      <c r="G46" s="23">
        <v>40.883299999999998</v>
      </c>
      <c r="H46" s="34">
        <v>-8.103393477981391E-3</v>
      </c>
      <c r="S46" s="11">
        <v>28</v>
      </c>
      <c r="T46" s="4">
        <v>79.834870272100062</v>
      </c>
      <c r="U46" s="7">
        <v>0.29918421923677885</v>
      </c>
    </row>
    <row r="47" spans="4:21" x14ac:dyDescent="0.25">
      <c r="D47" s="47" t="s">
        <v>6</v>
      </c>
      <c r="E47" s="47">
        <v>30</v>
      </c>
      <c r="F47" s="25">
        <v>43678</v>
      </c>
      <c r="G47" s="23">
        <v>41.217300000000002</v>
      </c>
      <c r="H47" s="34">
        <v>1.1934340260046472E-2</v>
      </c>
      <c r="S47" s="11">
        <v>29</v>
      </c>
      <c r="T47" s="4">
        <v>63.669874079046274</v>
      </c>
      <c r="U47" s="7">
        <v>3.6124883304251787E-2</v>
      </c>
    </row>
    <row r="48" spans="4:21" x14ac:dyDescent="0.25">
      <c r="D48" s="47" t="s">
        <v>6</v>
      </c>
      <c r="E48" s="47">
        <v>31</v>
      </c>
      <c r="F48" s="25">
        <v>43647</v>
      </c>
      <c r="G48" s="23">
        <v>40.731200000000001</v>
      </c>
      <c r="H48" s="34">
        <v>2.4372455177166241E-2</v>
      </c>
      <c r="S48" s="11">
        <v>30</v>
      </c>
      <c r="T48" s="4">
        <v>76.852765687893154</v>
      </c>
      <c r="U48" s="7">
        <v>0.25065525936359889</v>
      </c>
    </row>
    <row r="49" spans="4:21" x14ac:dyDescent="0.25">
      <c r="D49" s="47" t="s">
        <v>6</v>
      </c>
      <c r="E49" s="47">
        <v>32</v>
      </c>
      <c r="F49" s="25">
        <v>43617</v>
      </c>
      <c r="G49" s="23">
        <v>39.762099999999997</v>
      </c>
      <c r="H49" s="34">
        <v>9.1055518512115796E-2</v>
      </c>
      <c r="S49" s="11">
        <v>31</v>
      </c>
      <c r="T49" s="4">
        <v>65.224594281482553</v>
      </c>
      <c r="U49" s="7">
        <v>6.1425456167331971E-2</v>
      </c>
    </row>
    <row r="50" spans="4:21" x14ac:dyDescent="0.25">
      <c r="D50" s="47" t="s">
        <v>6</v>
      </c>
      <c r="E50" s="47">
        <v>33</v>
      </c>
      <c r="F50" s="25">
        <v>43586</v>
      </c>
      <c r="G50" s="23">
        <v>36.4437</v>
      </c>
      <c r="H50" s="34">
        <v>-1.8504853113856967E-2</v>
      </c>
      <c r="S50" s="11">
        <v>32</v>
      </c>
      <c r="T50" s="4">
        <v>70.643234442406452</v>
      </c>
      <c r="U50" s="7">
        <v>0.14960511704485668</v>
      </c>
    </row>
    <row r="51" spans="4:21" x14ac:dyDescent="0.25">
      <c r="D51" s="47" t="s">
        <v>6</v>
      </c>
      <c r="E51" s="47">
        <v>34</v>
      </c>
      <c r="F51" s="25">
        <v>43556</v>
      </c>
      <c r="G51" s="23">
        <v>37.130800000000001</v>
      </c>
      <c r="H51" s="34">
        <v>-2.9110372580345767E-2</v>
      </c>
      <c r="S51" s="11">
        <v>33</v>
      </c>
      <c r="T51" s="4">
        <v>82.658193536278233</v>
      </c>
      <c r="U51" s="7">
        <v>0.34512926828768475</v>
      </c>
    </row>
    <row r="52" spans="4:21" x14ac:dyDescent="0.25">
      <c r="D52" s="47" t="s">
        <v>6</v>
      </c>
      <c r="E52" s="47">
        <v>35</v>
      </c>
      <c r="F52" s="25">
        <v>43525</v>
      </c>
      <c r="G52" s="23">
        <v>38.244100000000003</v>
      </c>
      <c r="H52" s="34">
        <v>2.356297690003939E-2</v>
      </c>
      <c r="S52" s="11">
        <v>34</v>
      </c>
      <c r="T52" s="4">
        <v>52.636870764321543</v>
      </c>
      <c r="U52" s="7">
        <v>-0.14341951563349808</v>
      </c>
    </row>
    <row r="53" spans="4:21" x14ac:dyDescent="0.25">
      <c r="D53" s="47" t="s">
        <v>6</v>
      </c>
      <c r="E53" s="47">
        <v>36</v>
      </c>
      <c r="F53" s="25">
        <v>43497</v>
      </c>
      <c r="G53" s="23">
        <v>37.363700000000001</v>
      </c>
      <c r="H53" s="34">
        <v>5.0040609165586947E-2</v>
      </c>
      <c r="S53" s="11">
        <v>35</v>
      </c>
      <c r="T53" s="4">
        <v>72.000014493946935</v>
      </c>
      <c r="U53" s="7">
        <v>0.17168453204144729</v>
      </c>
    </row>
    <row r="54" spans="4:21" x14ac:dyDescent="0.25">
      <c r="D54" s="47" t="s">
        <v>6</v>
      </c>
      <c r="E54" s="47">
        <v>37</v>
      </c>
      <c r="F54" s="25">
        <v>43466</v>
      </c>
      <c r="G54" s="23">
        <v>35.583100000000002</v>
      </c>
      <c r="H54" s="34">
        <v>7.9672788729659549E-2</v>
      </c>
      <c r="S54" s="11">
        <v>36</v>
      </c>
      <c r="T54" s="4">
        <v>64.346533676363038</v>
      </c>
      <c r="U54" s="7">
        <v>4.7136430860260869E-2</v>
      </c>
    </row>
    <row r="55" spans="4:21" x14ac:dyDescent="0.25">
      <c r="D55" s="47" t="s">
        <v>6</v>
      </c>
      <c r="E55" s="47">
        <v>38</v>
      </c>
      <c r="F55" s="25">
        <v>43435</v>
      </c>
      <c r="G55" s="23">
        <v>32.957299999999996</v>
      </c>
      <c r="H55" s="34">
        <v>-7.7387134430892179E-2</v>
      </c>
      <c r="S55" s="11">
        <v>37</v>
      </c>
      <c r="T55" s="4">
        <v>66.594353110933227</v>
      </c>
      <c r="U55" s="7">
        <v>8.371607991754626E-2</v>
      </c>
    </row>
    <row r="56" spans="4:21" x14ac:dyDescent="0.25">
      <c r="D56" s="47" t="s">
        <v>6</v>
      </c>
      <c r="E56" s="47">
        <v>39</v>
      </c>
      <c r="F56" s="25">
        <v>43405</v>
      </c>
      <c r="G56" s="23">
        <v>35.721699999999998</v>
      </c>
      <c r="H56" s="34">
        <v>5.525341715089227E-2</v>
      </c>
      <c r="S56" s="11">
        <v>38</v>
      </c>
      <c r="T56" s="4">
        <v>64.858802239745657</v>
      </c>
      <c r="U56" s="7">
        <v>5.5472778514982224E-2</v>
      </c>
    </row>
    <row r="57" spans="4:21" x14ac:dyDescent="0.25">
      <c r="D57" s="47" t="s">
        <v>6</v>
      </c>
      <c r="E57" s="47">
        <v>40</v>
      </c>
      <c r="F57" s="25">
        <v>43374</v>
      </c>
      <c r="G57" s="23">
        <v>33.851300000000002</v>
      </c>
      <c r="H57" s="34">
        <v>-9.7392537842731053E-2</v>
      </c>
      <c r="S57" s="11">
        <v>39</v>
      </c>
      <c r="T57" s="4">
        <v>79.776058978240428</v>
      </c>
      <c r="U57" s="7">
        <v>0.29822715993881888</v>
      </c>
    </row>
    <row r="58" spans="4:21" x14ac:dyDescent="0.25">
      <c r="D58" s="47" t="s">
        <v>6</v>
      </c>
      <c r="E58" s="47">
        <v>41</v>
      </c>
      <c r="F58" s="25">
        <v>43344</v>
      </c>
      <c r="G58" s="23">
        <v>37.503900000000002</v>
      </c>
      <c r="H58" s="34">
        <v>3.4707373799519381E-2</v>
      </c>
      <c r="S58" s="11">
        <v>40</v>
      </c>
      <c r="T58" s="4">
        <v>75.265123043067987</v>
      </c>
      <c r="U58" s="7">
        <v>0.22481892665692405</v>
      </c>
    </row>
    <row r="59" spans="4:21" x14ac:dyDescent="0.25">
      <c r="D59" s="47" t="s">
        <v>6</v>
      </c>
      <c r="E59" s="47">
        <v>42</v>
      </c>
      <c r="F59" s="25">
        <v>43313</v>
      </c>
      <c r="G59" s="23">
        <v>36.245899999999999</v>
      </c>
      <c r="H59" s="34">
        <v>5.55992404650405E-2</v>
      </c>
      <c r="S59" s="11">
        <v>41</v>
      </c>
      <c r="T59" s="4">
        <v>67.410516272570746</v>
      </c>
      <c r="U59" s="7">
        <v>9.6997823800988536E-2</v>
      </c>
    </row>
    <row r="60" spans="4:21" x14ac:dyDescent="0.25">
      <c r="D60" s="47" t="s">
        <v>6</v>
      </c>
      <c r="E60" s="47">
        <v>43</v>
      </c>
      <c r="F60" s="25">
        <v>43282</v>
      </c>
      <c r="G60" s="23">
        <v>34.336799999999997</v>
      </c>
      <c r="H60" s="34">
        <v>3.8551578539843145E-2</v>
      </c>
      <c r="S60" s="11">
        <v>42</v>
      </c>
      <c r="T60" s="4">
        <v>68.527519377652993</v>
      </c>
      <c r="U60" s="7">
        <v>0.11517525431493891</v>
      </c>
    </row>
    <row r="61" spans="4:21" x14ac:dyDescent="0.25">
      <c r="D61" s="47" t="s">
        <v>6</v>
      </c>
      <c r="E61" s="47">
        <v>44</v>
      </c>
      <c r="F61" s="25">
        <v>43252</v>
      </c>
      <c r="G61" s="23">
        <v>33.062199999999997</v>
      </c>
      <c r="H61" s="34">
        <v>1.3689726113497391E-2</v>
      </c>
      <c r="S61" s="11">
        <v>43</v>
      </c>
      <c r="T61" s="4">
        <v>86.843207415971477</v>
      </c>
      <c r="U61" s="7">
        <v>0.41323364387260342</v>
      </c>
    </row>
    <row r="62" spans="4:21" x14ac:dyDescent="0.25">
      <c r="D62" s="47" t="s">
        <v>6</v>
      </c>
      <c r="E62" s="47">
        <v>45</v>
      </c>
      <c r="F62" s="25">
        <v>43221</v>
      </c>
      <c r="G62" s="23">
        <v>32.615699999999997</v>
      </c>
      <c r="H62" s="34">
        <v>5.0804154799798829E-2</v>
      </c>
      <c r="S62" s="11">
        <v>44</v>
      </c>
      <c r="T62" s="4">
        <v>66.011853460566186</v>
      </c>
      <c r="U62" s="7">
        <v>7.423683418333904E-2</v>
      </c>
    </row>
    <row r="63" spans="4:21" x14ac:dyDescent="0.25">
      <c r="D63" s="47" t="s">
        <v>6</v>
      </c>
      <c r="E63" s="47">
        <v>46</v>
      </c>
      <c r="F63" s="25">
        <v>43191</v>
      </c>
      <c r="G63" s="23">
        <v>31.038799999999998</v>
      </c>
      <c r="H63" s="34">
        <v>1.8263177405756226E-2</v>
      </c>
      <c r="S63" s="11">
        <v>45</v>
      </c>
      <c r="T63" s="4">
        <v>91.827408803778383</v>
      </c>
      <c r="U63" s="7">
        <v>0.49434351185969705</v>
      </c>
    </row>
    <row r="64" spans="4:21" x14ac:dyDescent="0.25">
      <c r="D64" s="47" t="s">
        <v>6</v>
      </c>
      <c r="E64" s="47">
        <v>47</v>
      </c>
      <c r="F64" s="25">
        <v>43160</v>
      </c>
      <c r="G64" s="23">
        <v>30.482099999999999</v>
      </c>
      <c r="H64" s="34">
        <v>7.0235715819553235E-3</v>
      </c>
      <c r="S64" s="11">
        <v>46</v>
      </c>
      <c r="T64" s="4">
        <v>80.793492555895213</v>
      </c>
      <c r="U64" s="7">
        <v>0.3147842564018748</v>
      </c>
    </row>
    <row r="65" spans="4:21" x14ac:dyDescent="0.25">
      <c r="D65" s="47" t="s">
        <v>6</v>
      </c>
      <c r="E65" s="47">
        <v>48</v>
      </c>
      <c r="F65" s="25">
        <v>43132</v>
      </c>
      <c r="G65" s="23">
        <v>30.269500000000001</v>
      </c>
      <c r="H65" s="34">
        <v>-3.9222096669756068E-2</v>
      </c>
      <c r="S65" s="11">
        <v>47</v>
      </c>
      <c r="T65" s="4">
        <v>70.232723290940285</v>
      </c>
      <c r="U65" s="7">
        <v>0.14292470774516319</v>
      </c>
    </row>
    <row r="66" spans="4:21" x14ac:dyDescent="0.25">
      <c r="D66" s="47" t="s">
        <v>6</v>
      </c>
      <c r="E66" s="47">
        <v>49</v>
      </c>
      <c r="F66" s="25">
        <v>43101</v>
      </c>
      <c r="G66" s="23">
        <v>31.505199999999999</v>
      </c>
      <c r="H66" s="34">
        <v>0.10376866024601217</v>
      </c>
      <c r="S66" s="11">
        <v>48</v>
      </c>
      <c r="T66" s="4">
        <v>84.106813885347208</v>
      </c>
      <c r="U66" s="7">
        <v>0.36870323653941739</v>
      </c>
    </row>
    <row r="67" spans="4:21" x14ac:dyDescent="0.25">
      <c r="D67" s="47" t="s">
        <v>6</v>
      </c>
      <c r="E67" s="47">
        <v>50</v>
      </c>
      <c r="F67" s="25">
        <v>43070</v>
      </c>
      <c r="G67" s="23">
        <v>28.543299999999999</v>
      </c>
      <c r="H67" s="34">
        <v>-2.3690052298715014E-2</v>
      </c>
      <c r="S67" s="11">
        <v>49</v>
      </c>
      <c r="T67" s="4">
        <v>71.594508198230884</v>
      </c>
      <c r="U67" s="7">
        <v>0.16508556872629576</v>
      </c>
    </row>
    <row r="68" spans="4:21" x14ac:dyDescent="0.25">
      <c r="D68" s="47" t="s">
        <v>6</v>
      </c>
      <c r="E68" s="47">
        <v>51</v>
      </c>
      <c r="F68" s="25">
        <v>43040</v>
      </c>
      <c r="G68" s="23">
        <v>29.235900000000001</v>
      </c>
      <c r="H68" s="34">
        <v>3.0144043071979265E-2</v>
      </c>
      <c r="S68" s="11">
        <v>50</v>
      </c>
      <c r="T68" s="4">
        <v>72.143637864546918</v>
      </c>
      <c r="U68" s="7">
        <v>0.17402177159555587</v>
      </c>
    </row>
    <row r="69" spans="4:21" x14ac:dyDescent="0.25">
      <c r="D69" s="47" t="s">
        <v>6</v>
      </c>
      <c r="E69" s="47">
        <v>52</v>
      </c>
      <c r="F69" s="25">
        <v>43009</v>
      </c>
      <c r="G69" s="23">
        <v>28.380400000000002</v>
      </c>
      <c r="H69" s="34">
        <v>3.4048801460327294E-2</v>
      </c>
      <c r="S69" s="11">
        <v>51</v>
      </c>
      <c r="T69" s="4">
        <v>78.974557924427771</v>
      </c>
      <c r="U69" s="7">
        <v>0.28518401829825502</v>
      </c>
    </row>
    <row r="70" spans="4:21" x14ac:dyDescent="0.25">
      <c r="D70" s="47" t="s">
        <v>6</v>
      </c>
      <c r="E70" s="47">
        <v>53</v>
      </c>
      <c r="F70" s="25">
        <v>42979</v>
      </c>
      <c r="G70" s="23">
        <v>27.445900000000002</v>
      </c>
      <c r="H70" s="34">
        <v>6.5093661527628743E-3</v>
      </c>
      <c r="S70" s="11">
        <v>52</v>
      </c>
      <c r="T70" s="4">
        <v>82.298725714559183</v>
      </c>
      <c r="U70" s="7">
        <v>0.33927950715311916</v>
      </c>
    </row>
    <row r="71" spans="4:21" x14ac:dyDescent="0.25">
      <c r="D71" s="47" t="s">
        <v>6</v>
      </c>
      <c r="E71" s="47">
        <v>54</v>
      </c>
      <c r="F71" s="25">
        <v>42948</v>
      </c>
      <c r="G71" s="23">
        <v>27.2684</v>
      </c>
      <c r="H71" s="34">
        <v>9.0587486493287628E-3</v>
      </c>
      <c r="S71" s="11">
        <v>53</v>
      </c>
      <c r="T71" s="4">
        <v>52.144858687328288</v>
      </c>
      <c r="U71" s="7">
        <v>-0.15142622152435659</v>
      </c>
    </row>
    <row r="72" spans="4:21" x14ac:dyDescent="0.25">
      <c r="D72" s="47" t="s">
        <v>6</v>
      </c>
      <c r="E72" s="47">
        <v>55</v>
      </c>
      <c r="F72" s="25">
        <v>42917</v>
      </c>
      <c r="G72" s="23">
        <v>27.023599999999998</v>
      </c>
      <c r="H72" s="34">
        <v>-1.2584039754457765E-2</v>
      </c>
      <c r="S72" s="11">
        <v>54</v>
      </c>
      <c r="T72" s="4">
        <v>86.370893661732239</v>
      </c>
      <c r="U72" s="7">
        <v>0.40554749652940991</v>
      </c>
    </row>
    <row r="73" spans="4:21" x14ac:dyDescent="0.25">
      <c r="D73" s="47" t="s">
        <v>6</v>
      </c>
      <c r="E73" s="47">
        <v>56</v>
      </c>
      <c r="F73" s="25">
        <v>42887</v>
      </c>
      <c r="G73" s="23">
        <v>27.367999999999999</v>
      </c>
      <c r="H73" s="34">
        <v>3.6128978522509181E-2</v>
      </c>
      <c r="S73" s="11">
        <v>55</v>
      </c>
      <c r="T73" s="4">
        <v>88.549149813917353</v>
      </c>
      <c r="U73" s="7">
        <v>0.44099511495390309</v>
      </c>
    </row>
    <row r="74" spans="4:21" x14ac:dyDescent="0.25">
      <c r="D74" s="47" t="s">
        <v>6</v>
      </c>
      <c r="E74" s="47">
        <v>57</v>
      </c>
      <c r="F74" s="25">
        <v>42856</v>
      </c>
      <c r="G74" s="23">
        <v>26.413699999999999</v>
      </c>
      <c r="H74" s="34">
        <v>1.9401026591022941E-2</v>
      </c>
      <c r="S74" s="11">
        <v>56</v>
      </c>
      <c r="T74" s="4">
        <v>75.016995855102607</v>
      </c>
      <c r="U74" s="7">
        <v>0.22078105541257287</v>
      </c>
    </row>
    <row r="75" spans="4:21" x14ac:dyDescent="0.25">
      <c r="D75" s="47" t="s">
        <v>6</v>
      </c>
      <c r="E75" s="47">
        <v>58</v>
      </c>
      <c r="F75" s="25">
        <v>42826</v>
      </c>
      <c r="G75" s="23">
        <v>25.911000000000001</v>
      </c>
      <c r="H75" s="34">
        <v>4.2612264606470385E-2</v>
      </c>
      <c r="S75" s="11">
        <v>57</v>
      </c>
      <c r="T75" s="4">
        <v>54.932523110956339</v>
      </c>
      <c r="U75" s="7">
        <v>-0.10606146279973416</v>
      </c>
    </row>
    <row r="76" spans="4:21" x14ac:dyDescent="0.25">
      <c r="D76" s="47" t="s">
        <v>6</v>
      </c>
      <c r="E76" s="47">
        <v>59</v>
      </c>
      <c r="F76" s="25">
        <v>42795</v>
      </c>
      <c r="G76" s="23">
        <v>24.852</v>
      </c>
      <c r="H76" s="34">
        <v>1.3044187184086065E-2</v>
      </c>
      <c r="S76" s="11">
        <v>58</v>
      </c>
      <c r="T76" s="4">
        <v>76.72026430421576</v>
      </c>
      <c r="U76" s="7">
        <v>0.24849901227364946</v>
      </c>
    </row>
    <row r="77" spans="4:21" x14ac:dyDescent="0.25">
      <c r="D77" s="47" t="s">
        <v>6</v>
      </c>
      <c r="E77" s="47">
        <v>60</v>
      </c>
      <c r="F77" s="25">
        <v>42767</v>
      </c>
      <c r="G77" s="23">
        <v>24.532</v>
      </c>
      <c r="H77" s="34">
        <v>5.1345895885385628E-2</v>
      </c>
      <c r="S77" s="11">
        <v>59</v>
      </c>
      <c r="T77" s="4">
        <v>69.733066536368213</v>
      </c>
      <c r="U77" s="7">
        <v>0.1347935970116878</v>
      </c>
    </row>
    <row r="78" spans="4:21" x14ac:dyDescent="0.25">
      <c r="S78" s="11">
        <v>60</v>
      </c>
      <c r="T78" s="4">
        <v>80.849996149293304</v>
      </c>
      <c r="U78" s="7">
        <v>0.31570376158329205</v>
      </c>
    </row>
    <row r="79" spans="4:21" x14ac:dyDescent="0.25">
      <c r="S79" s="11">
        <v>61</v>
      </c>
      <c r="T79" s="4">
        <v>90.471785000998722</v>
      </c>
      <c r="U79" s="7">
        <v>0.47228291295359992</v>
      </c>
    </row>
    <row r="80" spans="4:21" x14ac:dyDescent="0.25">
      <c r="S80" s="11">
        <v>62</v>
      </c>
      <c r="T80" s="4">
        <v>84.496889846499229</v>
      </c>
      <c r="U80" s="7">
        <v>0.37505109595604913</v>
      </c>
    </row>
    <row r="81" spans="19:21" x14ac:dyDescent="0.25">
      <c r="S81" s="11">
        <v>63</v>
      </c>
      <c r="T81" s="4">
        <v>86.766197590575942</v>
      </c>
      <c r="U81" s="7">
        <v>0.41198043271889251</v>
      </c>
    </row>
    <row r="82" spans="19:21" x14ac:dyDescent="0.25">
      <c r="S82" s="11">
        <v>64</v>
      </c>
      <c r="T82" s="4">
        <v>61.920383358701706</v>
      </c>
      <c r="U82" s="7">
        <v>7.6547332579610661E-3</v>
      </c>
    </row>
    <row r="83" spans="19:21" x14ac:dyDescent="0.25">
      <c r="S83" s="11">
        <v>65</v>
      </c>
      <c r="T83" s="4">
        <v>69.764031466578004</v>
      </c>
      <c r="U83" s="7">
        <v>0.13529750149028485</v>
      </c>
    </row>
    <row r="84" spans="19:21" x14ac:dyDescent="0.25">
      <c r="S84" s="11">
        <v>66</v>
      </c>
      <c r="T84" s="4">
        <v>54.047250502668106</v>
      </c>
      <c r="U84" s="7">
        <v>-0.12046785186870457</v>
      </c>
    </row>
    <row r="85" spans="19:21" x14ac:dyDescent="0.25">
      <c r="S85" s="11">
        <v>67</v>
      </c>
      <c r="T85" s="4">
        <v>49.736375049203431</v>
      </c>
      <c r="U85" s="7">
        <v>-0.19062042230751131</v>
      </c>
    </row>
    <row r="86" spans="19:21" x14ac:dyDescent="0.25">
      <c r="S86" s="11">
        <v>68</v>
      </c>
      <c r="T86" s="4">
        <v>58.420986995025231</v>
      </c>
      <c r="U86" s="7">
        <v>-4.9292319039459298E-2</v>
      </c>
    </row>
    <row r="87" spans="19:21" x14ac:dyDescent="0.25">
      <c r="S87" s="11">
        <v>69</v>
      </c>
      <c r="T87" s="4">
        <v>69.906641344296304</v>
      </c>
      <c r="U87" s="7">
        <v>0.13761824807642475</v>
      </c>
    </row>
    <row r="88" spans="19:21" x14ac:dyDescent="0.25">
      <c r="S88" s="11">
        <v>70</v>
      </c>
      <c r="T88" s="4">
        <v>108.37734269214766</v>
      </c>
      <c r="U88" s="7">
        <v>0.76366709018954704</v>
      </c>
    </row>
    <row r="89" spans="19:21" x14ac:dyDescent="0.25">
      <c r="S89" s="11">
        <v>71</v>
      </c>
      <c r="T89" s="4">
        <v>80.224277761709288</v>
      </c>
      <c r="U89" s="7">
        <v>0.30552120035328367</v>
      </c>
    </row>
    <row r="90" spans="19:21" x14ac:dyDescent="0.25">
      <c r="S90" s="11">
        <v>72</v>
      </c>
      <c r="T90" s="4">
        <v>84.615691426199959</v>
      </c>
      <c r="U90" s="7">
        <v>0.37698440075182993</v>
      </c>
    </row>
    <row r="91" spans="19:21" x14ac:dyDescent="0.25">
      <c r="S91" s="11">
        <v>73</v>
      </c>
      <c r="T91" s="4">
        <v>96.060258091187819</v>
      </c>
      <c r="U91" s="7">
        <v>0.5632263318338131</v>
      </c>
    </row>
    <row r="92" spans="19:21" x14ac:dyDescent="0.25">
      <c r="S92" s="11">
        <v>74</v>
      </c>
      <c r="T92" s="4">
        <v>77.113219271307983</v>
      </c>
      <c r="U92" s="7">
        <v>0.25489372288540246</v>
      </c>
    </row>
    <row r="93" spans="19:21" x14ac:dyDescent="0.25">
      <c r="S93" s="11">
        <v>75</v>
      </c>
      <c r="T93" s="4">
        <v>80.324152344414799</v>
      </c>
      <c r="U93" s="7">
        <v>0.30714649868860522</v>
      </c>
    </row>
    <row r="94" spans="19:21" x14ac:dyDescent="0.25">
      <c r="S94" s="11">
        <v>76</v>
      </c>
      <c r="T94" s="4">
        <v>91.10547802912933</v>
      </c>
      <c r="U94" s="7">
        <v>0.4825952486432763</v>
      </c>
    </row>
    <row r="95" spans="19:21" x14ac:dyDescent="0.25">
      <c r="S95" s="11">
        <v>77</v>
      </c>
      <c r="T95" s="4">
        <v>85.732312537826161</v>
      </c>
      <c r="U95" s="7">
        <v>0.3951556149361457</v>
      </c>
    </row>
    <row r="96" spans="19:21" x14ac:dyDescent="0.25">
      <c r="S96" s="11">
        <v>78</v>
      </c>
      <c r="T96" s="4">
        <v>73.414602356970462</v>
      </c>
      <c r="U96" s="7">
        <v>0.19470467627291232</v>
      </c>
    </row>
    <row r="97" spans="19:21" x14ac:dyDescent="0.25">
      <c r="S97" s="11">
        <v>79</v>
      </c>
      <c r="T97" s="4">
        <v>67.765206937530891</v>
      </c>
      <c r="U97" s="7">
        <v>0.10276984438618197</v>
      </c>
    </row>
    <row r="98" spans="19:21" x14ac:dyDescent="0.25">
      <c r="S98" s="11">
        <v>80</v>
      </c>
      <c r="T98" s="4">
        <v>91.086474704458467</v>
      </c>
      <c r="U98" s="7">
        <v>0.4822860000725544</v>
      </c>
    </row>
    <row r="99" spans="19:21" x14ac:dyDescent="0.25">
      <c r="S99" s="11">
        <v>81</v>
      </c>
      <c r="T99" s="4">
        <v>68.584367985792028</v>
      </c>
      <c r="U99" s="7">
        <v>0.11610037405682716</v>
      </c>
    </row>
    <row r="100" spans="19:21" x14ac:dyDescent="0.25">
      <c r="S100" s="11">
        <v>82</v>
      </c>
      <c r="T100" s="4">
        <v>75.129978339262948</v>
      </c>
      <c r="U100" s="7">
        <v>0.22261966377970621</v>
      </c>
    </row>
    <row r="101" spans="19:21" x14ac:dyDescent="0.25">
      <c r="S101" s="11">
        <v>83</v>
      </c>
      <c r="T101" s="4">
        <v>71.951908327992399</v>
      </c>
      <c r="U101" s="7">
        <v>0.17090168149702833</v>
      </c>
    </row>
    <row r="102" spans="19:21" x14ac:dyDescent="0.25">
      <c r="S102" s="11">
        <v>84</v>
      </c>
      <c r="T102" s="4">
        <v>66.74134420197224</v>
      </c>
      <c r="U102" s="7">
        <v>8.6108123709881745E-2</v>
      </c>
    </row>
    <row r="103" spans="19:21" x14ac:dyDescent="0.25">
      <c r="S103" s="11">
        <v>85</v>
      </c>
      <c r="T103" s="4">
        <v>77.50209583919326</v>
      </c>
      <c r="U103" s="7">
        <v>0.26122206410403992</v>
      </c>
    </row>
    <row r="104" spans="19:21" x14ac:dyDescent="0.25">
      <c r="S104" s="11">
        <v>86</v>
      </c>
      <c r="T104" s="4">
        <v>74.544483482553161</v>
      </c>
      <c r="U104" s="7">
        <v>0.21309167587555988</v>
      </c>
    </row>
    <row r="105" spans="19:21" x14ac:dyDescent="0.25">
      <c r="S105" s="11">
        <v>87</v>
      </c>
      <c r="T105" s="4">
        <v>70.673220603244175</v>
      </c>
      <c r="U105" s="7">
        <v>0.1500930936248035</v>
      </c>
    </row>
    <row r="106" spans="19:21" x14ac:dyDescent="0.25">
      <c r="S106" s="11">
        <v>88</v>
      </c>
      <c r="T106" s="4">
        <v>74.21755081297789</v>
      </c>
      <c r="U106" s="7">
        <v>0.20777137205822438</v>
      </c>
    </row>
    <row r="107" spans="19:21" x14ac:dyDescent="0.25">
      <c r="S107" s="11">
        <v>89</v>
      </c>
      <c r="T107" s="4">
        <v>67.406060189650063</v>
      </c>
      <c r="U107" s="7">
        <v>9.6925308212368666E-2</v>
      </c>
    </row>
    <row r="108" spans="19:21" x14ac:dyDescent="0.25">
      <c r="S108" s="11">
        <v>90</v>
      </c>
      <c r="T108" s="4">
        <v>76.94759786375738</v>
      </c>
      <c r="U108" s="7">
        <v>0.25219850063071392</v>
      </c>
    </row>
    <row r="109" spans="19:21" x14ac:dyDescent="0.25">
      <c r="S109" s="11">
        <v>91</v>
      </c>
      <c r="T109" s="4">
        <v>104.92501684900442</v>
      </c>
      <c r="U109" s="7">
        <v>0.70748603497159346</v>
      </c>
    </row>
    <row r="110" spans="19:21" x14ac:dyDescent="0.25">
      <c r="S110" s="11">
        <v>92</v>
      </c>
      <c r="T110" s="4">
        <v>90.444292482130507</v>
      </c>
      <c r="U110" s="7">
        <v>0.47183551638943055</v>
      </c>
    </row>
    <row r="111" spans="19:21" x14ac:dyDescent="0.25">
      <c r="S111" s="11">
        <v>93</v>
      </c>
      <c r="T111" s="4">
        <v>75.577942123336157</v>
      </c>
      <c r="U111" s="7">
        <v>0.22990955448879014</v>
      </c>
    </row>
    <row r="112" spans="19:21" x14ac:dyDescent="0.25">
      <c r="S112" s="11">
        <v>94</v>
      </c>
      <c r="T112" s="4">
        <v>59.814902893266449</v>
      </c>
      <c r="U112" s="7">
        <v>-2.6608577815029344E-2</v>
      </c>
    </row>
    <row r="113" spans="19:21" x14ac:dyDescent="0.25">
      <c r="S113" s="11">
        <v>95</v>
      </c>
      <c r="T113" s="4">
        <v>62.552976081847504</v>
      </c>
      <c r="U113" s="7">
        <v>1.7949163252196865E-2</v>
      </c>
    </row>
    <row r="114" spans="19:21" x14ac:dyDescent="0.25">
      <c r="S114" s="11">
        <v>96</v>
      </c>
      <c r="T114" s="4">
        <v>78.839511068693682</v>
      </c>
      <c r="U114" s="7">
        <v>0.28298634774115028</v>
      </c>
    </row>
    <row r="115" spans="19:21" x14ac:dyDescent="0.25">
      <c r="S115" s="11">
        <v>97</v>
      </c>
      <c r="T115" s="4">
        <v>72.071464221918546</v>
      </c>
      <c r="U115" s="7">
        <v>0.1728472615446468</v>
      </c>
    </row>
    <row r="116" spans="19:21" x14ac:dyDescent="0.25">
      <c r="S116" s="11">
        <v>98</v>
      </c>
      <c r="T116" s="4">
        <v>69.061850644295916</v>
      </c>
      <c r="U116" s="7">
        <v>0.12387063701051115</v>
      </c>
    </row>
    <row r="117" spans="19:21" x14ac:dyDescent="0.25">
      <c r="S117" s="11">
        <v>99</v>
      </c>
      <c r="T117" s="4">
        <v>74.658492446943399</v>
      </c>
      <c r="U117" s="7">
        <v>0.2149469885588835</v>
      </c>
    </row>
    <row r="118" spans="19:21" x14ac:dyDescent="0.25">
      <c r="S118" s="11">
        <v>100</v>
      </c>
      <c r="T118" s="4">
        <v>72.487024346354758</v>
      </c>
      <c r="U118" s="7">
        <v>0.17960983476574044</v>
      </c>
    </row>
    <row r="119" spans="19:21" x14ac:dyDescent="0.25">
      <c r="S119" s="11">
        <v>101</v>
      </c>
      <c r="T119" s="4">
        <v>80.199782728372611</v>
      </c>
      <c r="U119" s="7">
        <v>0.30512258304918816</v>
      </c>
    </row>
    <row r="120" spans="19:21" x14ac:dyDescent="0.25">
      <c r="S120" s="11">
        <v>102</v>
      </c>
      <c r="T120" s="4">
        <v>80.005371942569525</v>
      </c>
      <c r="U120" s="7">
        <v>0.30195885992790106</v>
      </c>
    </row>
    <row r="121" spans="19:21" x14ac:dyDescent="0.25">
      <c r="S121" s="11">
        <v>103</v>
      </c>
      <c r="T121" s="4">
        <v>54.657521719464874</v>
      </c>
      <c r="U121" s="7">
        <v>-0.1105366685196929</v>
      </c>
    </row>
    <row r="122" spans="19:21" x14ac:dyDescent="0.25">
      <c r="S122" s="11">
        <v>104</v>
      </c>
      <c r="T122" s="4">
        <v>86.529607507541371</v>
      </c>
      <c r="U122" s="7">
        <v>0.40813030931719063</v>
      </c>
    </row>
    <row r="123" spans="19:21" x14ac:dyDescent="0.25">
      <c r="S123" s="11">
        <v>105</v>
      </c>
      <c r="T123" s="4">
        <v>63.876811990381775</v>
      </c>
      <c r="U123" s="7">
        <v>3.9492465262518595E-2</v>
      </c>
    </row>
    <row r="124" spans="19:21" x14ac:dyDescent="0.25">
      <c r="S124" s="11">
        <v>106</v>
      </c>
      <c r="T124" s="4">
        <v>83.818557594589862</v>
      </c>
      <c r="U124" s="7">
        <v>0.3640123286344974</v>
      </c>
    </row>
    <row r="125" spans="19:21" x14ac:dyDescent="0.25">
      <c r="S125" s="11">
        <v>107</v>
      </c>
      <c r="T125" s="4">
        <v>78.482567796084624</v>
      </c>
      <c r="U125" s="7">
        <v>0.27717766958640544</v>
      </c>
    </row>
    <row r="126" spans="19:21" x14ac:dyDescent="0.25">
      <c r="S126" s="11">
        <v>108</v>
      </c>
      <c r="T126" s="4">
        <v>90.612757238859601</v>
      </c>
      <c r="U126" s="7">
        <v>0.47457700958274374</v>
      </c>
    </row>
    <row r="127" spans="19:21" x14ac:dyDescent="0.25">
      <c r="S127" s="11">
        <v>109</v>
      </c>
      <c r="T127" s="4">
        <v>84.472119561540183</v>
      </c>
      <c r="U127" s="7">
        <v>0.37464799937412829</v>
      </c>
    </row>
    <row r="128" spans="19:21" x14ac:dyDescent="0.25">
      <c r="S128" s="11">
        <v>110</v>
      </c>
      <c r="T128" s="4">
        <v>76.471851327406739</v>
      </c>
      <c r="U128" s="7">
        <v>0.24445649027513006</v>
      </c>
    </row>
    <row r="129" spans="19:21" x14ac:dyDescent="0.25">
      <c r="S129" s="11">
        <v>111</v>
      </c>
      <c r="T129" s="4">
        <v>76.327440843481128</v>
      </c>
      <c r="U129" s="7">
        <v>0.24210644171653573</v>
      </c>
    </row>
    <row r="130" spans="19:21" x14ac:dyDescent="0.25">
      <c r="S130" s="11">
        <v>112</v>
      </c>
      <c r="T130" s="4">
        <v>86.369258053847489</v>
      </c>
      <c r="U130" s="7">
        <v>0.40552087963950334</v>
      </c>
    </row>
    <row r="131" spans="19:21" x14ac:dyDescent="0.25">
      <c r="S131" s="11">
        <v>113</v>
      </c>
      <c r="T131" s="4">
        <v>51.869623905573413</v>
      </c>
      <c r="U131" s="7">
        <v>-0.15590522529579476</v>
      </c>
    </row>
    <row r="132" spans="19:21" x14ac:dyDescent="0.25">
      <c r="S132" s="11">
        <v>114</v>
      </c>
      <c r="T132" s="4">
        <v>63.190593324088994</v>
      </c>
      <c r="U132" s="7">
        <v>2.8325359220325419E-2</v>
      </c>
    </row>
    <row r="133" spans="19:21" x14ac:dyDescent="0.25">
      <c r="S133" s="11">
        <v>115</v>
      </c>
      <c r="T133" s="4">
        <v>59.176895471161373</v>
      </c>
      <c r="U133" s="7">
        <v>-3.6991123333419473E-2</v>
      </c>
    </row>
    <row r="134" spans="19:21" x14ac:dyDescent="0.25">
      <c r="S134" s="11">
        <v>116</v>
      </c>
      <c r="T134" s="4">
        <v>70.593877574863214</v>
      </c>
      <c r="U134" s="7">
        <v>0.14880191334195625</v>
      </c>
    </row>
    <row r="135" spans="19:21" x14ac:dyDescent="0.25">
      <c r="S135" s="11">
        <v>117</v>
      </c>
      <c r="T135" s="4">
        <v>75.223899150724023</v>
      </c>
      <c r="U135" s="7">
        <v>0.22414807405572046</v>
      </c>
    </row>
    <row r="136" spans="19:21" x14ac:dyDescent="0.25">
      <c r="S136" s="11">
        <v>118</v>
      </c>
      <c r="T136" s="4">
        <v>79.370617262979394</v>
      </c>
      <c r="U136" s="7">
        <v>0.29162924756679232</v>
      </c>
    </row>
    <row r="137" spans="19:21" x14ac:dyDescent="0.25">
      <c r="S137" s="11">
        <v>119</v>
      </c>
      <c r="T137" s="4">
        <v>67.192210554585841</v>
      </c>
      <c r="U137" s="7">
        <v>9.3445249057540147E-2</v>
      </c>
    </row>
    <row r="138" spans="19:21" x14ac:dyDescent="0.25">
      <c r="S138" s="11">
        <v>120</v>
      </c>
      <c r="T138" s="4">
        <v>67.54885146022454</v>
      </c>
      <c r="U138" s="7">
        <v>9.9249006675745211E-2</v>
      </c>
    </row>
    <row r="139" spans="19:21" x14ac:dyDescent="0.25">
      <c r="S139" s="11">
        <v>121</v>
      </c>
      <c r="T139" s="4">
        <v>59.286982236617654</v>
      </c>
      <c r="U139" s="7">
        <v>-3.5199638134781885E-2</v>
      </c>
    </row>
    <row r="140" spans="19:21" x14ac:dyDescent="0.25">
      <c r="S140" s="11">
        <v>122</v>
      </c>
      <c r="T140" s="4">
        <v>55.595893909816965</v>
      </c>
      <c r="U140" s="7">
        <v>-9.5266169083531915E-2</v>
      </c>
    </row>
    <row r="141" spans="19:21" x14ac:dyDescent="0.25">
      <c r="S141" s="11">
        <v>123</v>
      </c>
      <c r="T141" s="4">
        <v>67.822223033338801</v>
      </c>
      <c r="U141" s="7">
        <v>0.10369768972072912</v>
      </c>
    </row>
    <row r="142" spans="19:21" x14ac:dyDescent="0.25">
      <c r="S142" s="11">
        <v>124</v>
      </c>
      <c r="T142" s="4">
        <v>65.783319818071718</v>
      </c>
      <c r="U142" s="7">
        <v>7.051781640474708E-2</v>
      </c>
    </row>
    <row r="143" spans="19:21" x14ac:dyDescent="0.25">
      <c r="S143" s="11">
        <v>125</v>
      </c>
      <c r="T143" s="4">
        <v>104.31455633136872</v>
      </c>
      <c r="U143" s="7">
        <v>0.69755177105563404</v>
      </c>
    </row>
    <row r="144" spans="19:21" x14ac:dyDescent="0.25">
      <c r="S144" s="11">
        <v>126</v>
      </c>
      <c r="T144" s="4">
        <v>73.96598637932523</v>
      </c>
      <c r="U144" s="7">
        <v>0.20367756516395819</v>
      </c>
    </row>
    <row r="145" spans="19:21" x14ac:dyDescent="0.25">
      <c r="S145" s="11">
        <v>127</v>
      </c>
      <c r="T145" s="4">
        <v>78.764731516556978</v>
      </c>
      <c r="U145" s="7">
        <v>0.28176943070068305</v>
      </c>
    </row>
    <row r="146" spans="19:21" x14ac:dyDescent="0.25">
      <c r="S146" s="11">
        <v>128</v>
      </c>
      <c r="T146" s="4">
        <v>58.267086056247372</v>
      </c>
      <c r="U146" s="7">
        <v>-5.1796809499635943E-2</v>
      </c>
    </row>
    <row r="147" spans="19:21" x14ac:dyDescent="0.25">
      <c r="S147" s="11">
        <v>129</v>
      </c>
      <c r="T147" s="4">
        <v>51.816416385066042</v>
      </c>
      <c r="U147" s="7">
        <v>-0.15677109218769669</v>
      </c>
    </row>
    <row r="148" spans="19:21" x14ac:dyDescent="0.25">
      <c r="S148" s="11">
        <v>130</v>
      </c>
      <c r="T148" s="4">
        <v>83.348613596804896</v>
      </c>
      <c r="U148" s="7">
        <v>0.35636474526940431</v>
      </c>
    </row>
    <row r="149" spans="19:21" x14ac:dyDescent="0.25">
      <c r="S149" s="11">
        <v>131</v>
      </c>
      <c r="T149" s="4">
        <v>61.790689813437716</v>
      </c>
      <c r="U149" s="7">
        <v>5.5441792260002565E-3</v>
      </c>
    </row>
    <row r="150" spans="19:21" x14ac:dyDescent="0.25">
      <c r="S150" s="11">
        <v>132</v>
      </c>
      <c r="T150" s="4">
        <v>49.331147487959527</v>
      </c>
      <c r="U150" s="7">
        <v>-0.19721484966705416</v>
      </c>
    </row>
    <row r="151" spans="19:21" x14ac:dyDescent="0.25">
      <c r="S151" s="11">
        <v>133</v>
      </c>
      <c r="T151" s="4">
        <v>65.919822643298858</v>
      </c>
      <c r="U151" s="7">
        <v>7.2739180525611902E-2</v>
      </c>
    </row>
    <row r="152" spans="19:21" x14ac:dyDescent="0.25">
      <c r="S152" s="11">
        <v>134</v>
      </c>
      <c r="T152" s="4">
        <v>74.444126460101614</v>
      </c>
      <c r="U152" s="7">
        <v>0.21145852660865105</v>
      </c>
    </row>
    <row r="153" spans="19:21" x14ac:dyDescent="0.25">
      <c r="S153" s="11">
        <v>135</v>
      </c>
      <c r="T153" s="4">
        <v>75.347890030416721</v>
      </c>
      <c r="U153" s="7">
        <v>0.22616582636967797</v>
      </c>
    </row>
    <row r="154" spans="19:21" x14ac:dyDescent="0.25">
      <c r="S154" s="11">
        <v>136</v>
      </c>
      <c r="T154" s="4">
        <v>75.186987592067013</v>
      </c>
      <c r="U154" s="7">
        <v>0.22354739775536214</v>
      </c>
    </row>
    <row r="155" spans="19:21" x14ac:dyDescent="0.25">
      <c r="S155" s="11">
        <v>137</v>
      </c>
      <c r="T155" s="4">
        <v>59.888734954893692</v>
      </c>
      <c r="U155" s="7">
        <v>-2.5407079659988785E-2</v>
      </c>
    </row>
    <row r="156" spans="19:21" x14ac:dyDescent="0.25">
      <c r="S156" s="11">
        <v>138</v>
      </c>
      <c r="T156" s="4">
        <v>74.391148327021241</v>
      </c>
      <c r="U156" s="7">
        <v>0.21059639262849861</v>
      </c>
    </row>
    <row r="157" spans="19:21" x14ac:dyDescent="0.25">
      <c r="S157" s="11">
        <v>139</v>
      </c>
      <c r="T157" s="4">
        <v>74.151754292895134</v>
      </c>
      <c r="U157" s="7">
        <v>0.20670063942872474</v>
      </c>
    </row>
    <row r="158" spans="19:21" x14ac:dyDescent="0.25">
      <c r="S158" s="11">
        <v>140</v>
      </c>
      <c r="T158" s="4">
        <v>99.744871402515017</v>
      </c>
      <c r="U158" s="7">
        <v>0.62318749231106607</v>
      </c>
    </row>
    <row r="159" spans="19:21" x14ac:dyDescent="0.25">
      <c r="S159" s="11">
        <v>141</v>
      </c>
      <c r="T159" s="4">
        <v>63.0167642799627</v>
      </c>
      <c r="U159" s="7">
        <v>2.5496570870019442E-2</v>
      </c>
    </row>
    <row r="160" spans="19:21" x14ac:dyDescent="0.25">
      <c r="S160" s="11">
        <v>142</v>
      </c>
      <c r="T160" s="4">
        <v>98.870126563399793</v>
      </c>
      <c r="U160" s="7">
        <v>0.60895242576728714</v>
      </c>
    </row>
    <row r="161" spans="19:21" x14ac:dyDescent="0.25">
      <c r="S161" s="11">
        <v>143</v>
      </c>
      <c r="T161" s="4">
        <v>69.945168763684848</v>
      </c>
      <c r="U161" s="7">
        <v>0.13824521991350447</v>
      </c>
    </row>
    <row r="162" spans="19:21" x14ac:dyDescent="0.25">
      <c r="S162" s="11">
        <v>144</v>
      </c>
      <c r="T162" s="4">
        <v>80.01127567549436</v>
      </c>
      <c r="U162" s="7">
        <v>0.30205493369396841</v>
      </c>
    </row>
    <row r="163" spans="19:21" x14ac:dyDescent="0.25">
      <c r="S163" s="11">
        <v>145</v>
      </c>
      <c r="T163" s="4">
        <v>63.186841813902625</v>
      </c>
      <c r="U163" s="7">
        <v>2.8264309420709788E-2</v>
      </c>
    </row>
    <row r="164" spans="19:21" x14ac:dyDescent="0.25">
      <c r="S164" s="11">
        <v>146</v>
      </c>
      <c r="T164" s="4">
        <v>66.149238487690681</v>
      </c>
      <c r="U164" s="7">
        <v>7.6472554722387009E-2</v>
      </c>
    </row>
    <row r="165" spans="19:21" x14ac:dyDescent="0.25">
      <c r="S165" s="11">
        <v>147</v>
      </c>
      <c r="T165" s="4">
        <v>79.165935333462443</v>
      </c>
      <c r="U165" s="7">
        <v>0.28829837808726499</v>
      </c>
    </row>
    <row r="166" spans="19:21" x14ac:dyDescent="0.25">
      <c r="S166" s="11">
        <v>148</v>
      </c>
      <c r="T166" s="4">
        <v>83.864650755968043</v>
      </c>
      <c r="U166" s="7">
        <v>0.36476242076432941</v>
      </c>
    </row>
    <row r="167" spans="19:21" x14ac:dyDescent="0.25">
      <c r="S167" s="11">
        <v>149</v>
      </c>
      <c r="T167" s="4">
        <v>74.420138808203106</v>
      </c>
      <c r="U167" s="7">
        <v>0.211068166122101</v>
      </c>
    </row>
    <row r="168" spans="19:21" x14ac:dyDescent="0.25">
      <c r="S168" s="11">
        <v>150</v>
      </c>
      <c r="T168" s="4">
        <v>75.602056763477918</v>
      </c>
      <c r="U168" s="7">
        <v>0.23030198150492942</v>
      </c>
    </row>
    <row r="169" spans="19:21" x14ac:dyDescent="0.25">
      <c r="S169" s="11">
        <v>151</v>
      </c>
      <c r="T169" s="4">
        <v>84.682401992549487</v>
      </c>
      <c r="U169" s="7">
        <v>0.37807000801545132</v>
      </c>
    </row>
    <row r="170" spans="19:21" x14ac:dyDescent="0.25">
      <c r="S170" s="11">
        <v>152</v>
      </c>
      <c r="T170" s="4">
        <v>76.238647955081262</v>
      </c>
      <c r="U170" s="7">
        <v>0.24066148014778288</v>
      </c>
    </row>
    <row r="171" spans="19:21" x14ac:dyDescent="0.25">
      <c r="S171" s="11">
        <v>153</v>
      </c>
      <c r="T171" s="4">
        <v>64.241671507622371</v>
      </c>
      <c r="U171" s="7">
        <v>4.5429967577255814E-2</v>
      </c>
    </row>
    <row r="172" spans="19:21" x14ac:dyDescent="0.25">
      <c r="S172" s="11">
        <v>154</v>
      </c>
      <c r="T172" s="4">
        <v>67.053605087000236</v>
      </c>
      <c r="U172" s="7">
        <v>9.11896678112325E-2</v>
      </c>
    </row>
    <row r="173" spans="19:21" x14ac:dyDescent="0.25">
      <c r="S173" s="11">
        <v>155</v>
      </c>
      <c r="T173" s="4">
        <v>63.303348763081338</v>
      </c>
      <c r="U173" s="7">
        <v>3.0160272792210563E-2</v>
      </c>
    </row>
    <row r="174" spans="19:21" x14ac:dyDescent="0.25">
      <c r="S174" s="11">
        <v>156</v>
      </c>
      <c r="T174" s="4">
        <v>61.913472059926349</v>
      </c>
      <c r="U174" s="7">
        <v>7.542262976832248E-3</v>
      </c>
    </row>
    <row r="175" spans="19:21" x14ac:dyDescent="0.25">
      <c r="S175" s="11">
        <v>157</v>
      </c>
      <c r="T175" s="4">
        <v>71.683066053704152</v>
      </c>
      <c r="U175" s="7">
        <v>0.16652670551186577</v>
      </c>
    </row>
    <row r="176" spans="19:21" x14ac:dyDescent="0.25">
      <c r="S176" s="11">
        <v>158</v>
      </c>
      <c r="T176" s="4">
        <v>63.099320075429439</v>
      </c>
      <c r="U176" s="7">
        <v>2.6840033774278904E-2</v>
      </c>
    </row>
    <row r="177" spans="19:21" x14ac:dyDescent="0.25">
      <c r="S177" s="11">
        <v>159</v>
      </c>
      <c r="T177" s="4">
        <v>74.272370417596974</v>
      </c>
      <c r="U177" s="7">
        <v>0.20866347302842914</v>
      </c>
    </row>
    <row r="178" spans="19:21" x14ac:dyDescent="0.25">
      <c r="S178" s="11">
        <v>160</v>
      </c>
      <c r="T178" s="4">
        <v>67.008966405385124</v>
      </c>
      <c r="U178" s="7">
        <v>9.0463245002198933E-2</v>
      </c>
    </row>
    <row r="179" spans="19:21" x14ac:dyDescent="0.25">
      <c r="S179" s="11">
        <v>161</v>
      </c>
      <c r="T179" s="4">
        <v>70.814036998092078</v>
      </c>
      <c r="U179" s="7">
        <v>0.15238465415935032</v>
      </c>
    </row>
    <row r="180" spans="19:21" x14ac:dyDescent="0.25">
      <c r="S180" s="11">
        <v>162</v>
      </c>
      <c r="T180" s="4">
        <v>96.529510555599586</v>
      </c>
      <c r="U180" s="7">
        <v>0.57086266160454979</v>
      </c>
    </row>
    <row r="181" spans="19:21" x14ac:dyDescent="0.25">
      <c r="S181" s="11">
        <v>163</v>
      </c>
      <c r="T181" s="4">
        <v>72.877374863121844</v>
      </c>
      <c r="U181" s="7">
        <v>0.18596216213379724</v>
      </c>
    </row>
    <row r="182" spans="19:21" x14ac:dyDescent="0.25">
      <c r="S182" s="11">
        <v>164</v>
      </c>
      <c r="T182" s="4">
        <v>67.88790088912198</v>
      </c>
      <c r="U182" s="7">
        <v>0.10476649127944637</v>
      </c>
    </row>
    <row r="183" spans="19:21" x14ac:dyDescent="0.25">
      <c r="S183" s="11">
        <v>165</v>
      </c>
      <c r="T183" s="4">
        <v>86.453424227602795</v>
      </c>
      <c r="U183" s="7">
        <v>0.40689054886253517</v>
      </c>
    </row>
    <row r="184" spans="19:21" x14ac:dyDescent="0.25">
      <c r="S184" s="11">
        <v>166</v>
      </c>
      <c r="T184" s="4">
        <v>70.088345907605927</v>
      </c>
      <c r="U184" s="7">
        <v>0.14057519784549921</v>
      </c>
    </row>
    <row r="185" spans="19:21" x14ac:dyDescent="0.25">
      <c r="S185" s="11">
        <v>167</v>
      </c>
      <c r="T185" s="4">
        <v>56.940355214154174</v>
      </c>
      <c r="U185" s="7">
        <v>-7.3387221901478061E-2</v>
      </c>
    </row>
    <row r="186" spans="19:21" x14ac:dyDescent="0.25">
      <c r="S186" s="11">
        <v>168</v>
      </c>
      <c r="T186" s="4">
        <v>90.371292499529602</v>
      </c>
      <c r="U186" s="7">
        <v>0.4706475589833945</v>
      </c>
    </row>
    <row r="187" spans="19:21" x14ac:dyDescent="0.25">
      <c r="S187" s="11">
        <v>169</v>
      </c>
      <c r="T187" s="4">
        <v>97.443824444381136</v>
      </c>
      <c r="U187" s="7">
        <v>0.58574165084428209</v>
      </c>
    </row>
    <row r="188" spans="19:21" x14ac:dyDescent="0.25">
      <c r="S188" s="11">
        <v>170</v>
      </c>
      <c r="T188" s="4">
        <v>80.934172038901323</v>
      </c>
      <c r="U188" s="7">
        <v>0.31707358891621351</v>
      </c>
    </row>
    <row r="189" spans="19:21" x14ac:dyDescent="0.25">
      <c r="S189" s="11">
        <v>171</v>
      </c>
      <c r="T189" s="4">
        <v>79.928094603875266</v>
      </c>
      <c r="U189" s="7">
        <v>0.30070129542514668</v>
      </c>
    </row>
    <row r="190" spans="19:21" x14ac:dyDescent="0.25">
      <c r="S190" s="11">
        <v>172</v>
      </c>
      <c r="T190" s="4">
        <v>74.483168816087741</v>
      </c>
      <c r="U190" s="7">
        <v>0.21209387821135461</v>
      </c>
    </row>
    <row r="191" spans="19:21" x14ac:dyDescent="0.25">
      <c r="S191" s="11">
        <v>173</v>
      </c>
      <c r="T191" s="4">
        <v>84.019181326256074</v>
      </c>
      <c r="U191" s="7">
        <v>0.36727715746551781</v>
      </c>
    </row>
    <row r="192" spans="19:21" x14ac:dyDescent="0.25">
      <c r="S192" s="11">
        <v>174</v>
      </c>
      <c r="T192" s="4">
        <v>81.584944153085232</v>
      </c>
      <c r="U192" s="7">
        <v>0.32766385928535757</v>
      </c>
    </row>
    <row r="193" spans="19:21" x14ac:dyDescent="0.25">
      <c r="S193" s="11">
        <v>175</v>
      </c>
      <c r="T193" s="4">
        <v>88.21242652776111</v>
      </c>
      <c r="U193" s="7">
        <v>0.43551548458520917</v>
      </c>
    </row>
    <row r="194" spans="19:21" x14ac:dyDescent="0.25">
      <c r="S194" s="11">
        <v>176</v>
      </c>
      <c r="T194" s="4">
        <v>91.769681998934601</v>
      </c>
      <c r="U194" s="7">
        <v>0.49340410087769881</v>
      </c>
    </row>
    <row r="195" spans="19:21" x14ac:dyDescent="0.25">
      <c r="S195" s="11">
        <v>177</v>
      </c>
      <c r="T195" s="4">
        <v>79.525314145362543</v>
      </c>
      <c r="U195" s="7">
        <v>0.29414669073006583</v>
      </c>
    </row>
    <row r="196" spans="19:21" x14ac:dyDescent="0.25">
      <c r="S196" s="11">
        <v>178</v>
      </c>
      <c r="T196" s="4">
        <v>89.252984897235166</v>
      </c>
      <c r="U196" s="7">
        <v>0.45244889987363979</v>
      </c>
    </row>
    <row r="197" spans="19:21" x14ac:dyDescent="0.25">
      <c r="S197" s="11">
        <v>179</v>
      </c>
      <c r="T197" s="4">
        <v>77.915747298718102</v>
      </c>
      <c r="U197" s="7">
        <v>0.26795357687092114</v>
      </c>
    </row>
    <row r="198" spans="19:21" x14ac:dyDescent="0.25">
      <c r="S198" s="11">
        <v>180</v>
      </c>
      <c r="T198" s="4">
        <v>69.562749236817609</v>
      </c>
      <c r="U198" s="7">
        <v>0.13202195666098637</v>
      </c>
    </row>
    <row r="199" spans="19:21" x14ac:dyDescent="0.25">
      <c r="S199" s="11">
        <v>181</v>
      </c>
      <c r="T199" s="4">
        <v>70.262978120439939</v>
      </c>
      <c r="U199" s="7">
        <v>0.14341705647583303</v>
      </c>
    </row>
    <row r="200" spans="19:21" x14ac:dyDescent="0.25">
      <c r="S200" s="11">
        <v>182</v>
      </c>
      <c r="T200" s="4">
        <v>76.099208668903032</v>
      </c>
      <c r="U200" s="7">
        <v>0.23839232984382464</v>
      </c>
    </row>
    <row r="201" spans="19:21" x14ac:dyDescent="0.25">
      <c r="S201" s="11">
        <v>183</v>
      </c>
      <c r="T201" s="4">
        <v>70.923096066402238</v>
      </c>
      <c r="U201" s="7">
        <v>0.15415941523844157</v>
      </c>
    </row>
    <row r="202" spans="19:21" x14ac:dyDescent="0.25">
      <c r="S202" s="11">
        <v>184</v>
      </c>
      <c r="T202" s="4">
        <v>78.663870120752293</v>
      </c>
      <c r="U202" s="7">
        <v>0.28012807356797875</v>
      </c>
    </row>
    <row r="203" spans="19:21" x14ac:dyDescent="0.25">
      <c r="S203" s="11">
        <v>185</v>
      </c>
      <c r="T203" s="4">
        <v>81.481850021375607</v>
      </c>
      <c r="U203" s="7">
        <v>0.32598616796380142</v>
      </c>
    </row>
    <row r="204" spans="19:21" x14ac:dyDescent="0.25">
      <c r="S204" s="11">
        <v>186</v>
      </c>
      <c r="T204" s="4">
        <v>72.528035794584582</v>
      </c>
      <c r="U204" s="7">
        <v>0.18027723018038366</v>
      </c>
    </row>
    <row r="205" spans="19:21" x14ac:dyDescent="0.25">
      <c r="S205" s="11">
        <v>187</v>
      </c>
      <c r="T205" s="4">
        <v>93.562061472094456</v>
      </c>
      <c r="U205" s="7">
        <v>0.52257219645393738</v>
      </c>
    </row>
    <row r="206" spans="19:21" x14ac:dyDescent="0.25">
      <c r="S206" s="11">
        <v>188</v>
      </c>
      <c r="T206" s="4">
        <v>54.506809965459084</v>
      </c>
      <c r="U206" s="7">
        <v>-0.11298926012271637</v>
      </c>
    </row>
    <row r="207" spans="19:21" x14ac:dyDescent="0.25">
      <c r="S207" s="11">
        <v>189</v>
      </c>
      <c r="T207" s="4">
        <v>77.99957705095747</v>
      </c>
      <c r="U207" s="7">
        <v>0.26931777137440949</v>
      </c>
    </row>
    <row r="208" spans="19:21" x14ac:dyDescent="0.25">
      <c r="S208" s="11">
        <v>190</v>
      </c>
      <c r="T208" s="4">
        <v>86.865556990907365</v>
      </c>
      <c r="U208" s="7">
        <v>0.41359734728897246</v>
      </c>
    </row>
    <row r="209" spans="19:21" x14ac:dyDescent="0.25">
      <c r="S209" s="11">
        <v>191</v>
      </c>
      <c r="T209" s="4">
        <v>63.41281773638007</v>
      </c>
      <c r="U209" s="7">
        <v>3.1941704416274419E-2</v>
      </c>
    </row>
    <row r="210" spans="19:21" x14ac:dyDescent="0.25">
      <c r="S210" s="11">
        <v>192</v>
      </c>
      <c r="T210" s="4">
        <v>74.808290213287066</v>
      </c>
      <c r="U210" s="7">
        <v>0.21738470648148178</v>
      </c>
    </row>
    <row r="211" spans="19:21" x14ac:dyDescent="0.25">
      <c r="S211" s="11">
        <v>193</v>
      </c>
      <c r="T211" s="4">
        <v>88.051472936726128</v>
      </c>
      <c r="U211" s="7">
        <v>0.43289622354314283</v>
      </c>
    </row>
    <row r="212" spans="19:21" x14ac:dyDescent="0.25">
      <c r="S212" s="11">
        <v>194</v>
      </c>
      <c r="T212" s="4">
        <v>86.028956545805869</v>
      </c>
      <c r="U212" s="7">
        <v>0.39998301945981884</v>
      </c>
    </row>
    <row r="213" spans="19:21" x14ac:dyDescent="0.25">
      <c r="S213" s="11">
        <v>195</v>
      </c>
      <c r="T213" s="4">
        <v>89.536695642191589</v>
      </c>
      <c r="U213" s="7">
        <v>0.45706583632533082</v>
      </c>
    </row>
    <row r="214" spans="19:21" x14ac:dyDescent="0.25">
      <c r="S214" s="11">
        <v>196</v>
      </c>
      <c r="T214" s="4">
        <v>78.293984582944901</v>
      </c>
      <c r="U214" s="7">
        <v>0.27410878084531975</v>
      </c>
    </row>
    <row r="215" spans="19:21" x14ac:dyDescent="0.25">
      <c r="S215" s="11">
        <v>197</v>
      </c>
      <c r="T215" s="4">
        <v>65.721056643671488</v>
      </c>
      <c r="U215" s="7">
        <v>6.9504583298152678E-2</v>
      </c>
    </row>
    <row r="216" spans="19:21" x14ac:dyDescent="0.25">
      <c r="S216" s="11">
        <v>198</v>
      </c>
      <c r="T216" s="4">
        <v>77.430228933389756</v>
      </c>
      <c r="U216" s="7">
        <v>0.26005254570203018</v>
      </c>
    </row>
    <row r="217" spans="19:21" x14ac:dyDescent="0.25">
      <c r="S217" s="11">
        <v>199</v>
      </c>
      <c r="T217" s="4">
        <v>81.001934874030994</v>
      </c>
      <c r="U217" s="7">
        <v>0.31817632016323816</v>
      </c>
    </row>
    <row r="218" spans="19:21" x14ac:dyDescent="0.25">
      <c r="S218" s="11">
        <v>200</v>
      </c>
      <c r="T218" s="4">
        <v>69.074477006151866</v>
      </c>
      <c r="U218" s="7">
        <v>0.12407611075918412</v>
      </c>
    </row>
    <row r="219" spans="19:21" x14ac:dyDescent="0.25">
      <c r="S219" s="11">
        <v>201</v>
      </c>
      <c r="T219" s="4">
        <v>76.326417465777439</v>
      </c>
      <c r="U219" s="7">
        <v>0.24208978788897362</v>
      </c>
    </row>
    <row r="220" spans="19:21" x14ac:dyDescent="0.25">
      <c r="S220" s="11">
        <v>202</v>
      </c>
      <c r="T220" s="4">
        <v>73.052284013965632</v>
      </c>
      <c r="U220" s="7">
        <v>0.18880852748520138</v>
      </c>
    </row>
    <row r="221" spans="19:21" x14ac:dyDescent="0.25">
      <c r="S221" s="11">
        <v>203</v>
      </c>
      <c r="T221" s="4">
        <v>84.795336511811342</v>
      </c>
      <c r="U221" s="7">
        <v>0.37990783583094112</v>
      </c>
    </row>
    <row r="222" spans="19:21" x14ac:dyDescent="0.25">
      <c r="S222" s="11">
        <v>204</v>
      </c>
      <c r="T222" s="4">
        <v>52.017684361430753</v>
      </c>
      <c r="U222" s="7">
        <v>-0.15349577930950775</v>
      </c>
    </row>
    <row r="223" spans="19:21" x14ac:dyDescent="0.25">
      <c r="S223" s="11">
        <v>205</v>
      </c>
      <c r="T223" s="4">
        <v>74.03929372977656</v>
      </c>
      <c r="U223" s="7">
        <v>0.20487052448782039</v>
      </c>
    </row>
    <row r="224" spans="19:21" x14ac:dyDescent="0.25">
      <c r="S224" s="11">
        <v>206</v>
      </c>
      <c r="T224" s="4">
        <v>75.755433327942242</v>
      </c>
      <c r="U224" s="7">
        <v>0.23279793861582165</v>
      </c>
    </row>
    <row r="225" spans="19:21" x14ac:dyDescent="0.25">
      <c r="S225" s="11">
        <v>207</v>
      </c>
      <c r="T225" s="4">
        <v>71.548920968458134</v>
      </c>
      <c r="U225" s="7">
        <v>0.16434370982031132</v>
      </c>
    </row>
    <row r="226" spans="19:21" x14ac:dyDescent="0.25">
      <c r="S226" s="11">
        <v>208</v>
      </c>
      <c r="T226" s="4">
        <v>72.314507618330595</v>
      </c>
      <c r="U226" s="7">
        <v>0.1768024022511081</v>
      </c>
    </row>
    <row r="227" spans="19:21" x14ac:dyDescent="0.25">
      <c r="S227" s="11">
        <v>209</v>
      </c>
      <c r="T227" s="4">
        <v>62.158853895561116</v>
      </c>
      <c r="U227" s="7">
        <v>1.1535458023777201E-2</v>
      </c>
    </row>
    <row r="228" spans="19:21" x14ac:dyDescent="0.25">
      <c r="S228" s="11">
        <v>210</v>
      </c>
      <c r="T228" s="4">
        <v>61.714234079116608</v>
      </c>
      <c r="U228" s="7">
        <v>4.2999850141025586E-3</v>
      </c>
    </row>
    <row r="229" spans="19:21" x14ac:dyDescent="0.25">
      <c r="S229" s="11">
        <v>211</v>
      </c>
      <c r="T229" s="4">
        <v>70.264164983046882</v>
      </c>
      <c r="U229" s="7">
        <v>0.14343637075747573</v>
      </c>
    </row>
    <row r="230" spans="19:21" x14ac:dyDescent="0.25">
      <c r="S230" s="11">
        <v>212</v>
      </c>
      <c r="T230" s="4">
        <v>76.738215158907849</v>
      </c>
      <c r="U230" s="7">
        <v>0.2487911335867834</v>
      </c>
    </row>
    <row r="231" spans="19:21" x14ac:dyDescent="0.25">
      <c r="S231" s="11">
        <v>213</v>
      </c>
      <c r="T231" s="4">
        <v>76.526441697086199</v>
      </c>
      <c r="U231" s="7">
        <v>0.24534486081507234</v>
      </c>
    </row>
    <row r="232" spans="19:21" x14ac:dyDescent="0.25">
      <c r="S232" s="11">
        <v>214</v>
      </c>
      <c r="T232" s="4">
        <v>79.633501665739786</v>
      </c>
      <c r="U232" s="7">
        <v>0.29590726876712425</v>
      </c>
    </row>
    <row r="233" spans="19:21" x14ac:dyDescent="0.25">
      <c r="S233" s="11">
        <v>215</v>
      </c>
      <c r="T233" s="4">
        <v>89.935817726208569</v>
      </c>
      <c r="U233" s="7">
        <v>0.46356090685449258</v>
      </c>
    </row>
    <row r="234" spans="19:21" x14ac:dyDescent="0.25">
      <c r="S234" s="11">
        <v>216</v>
      </c>
      <c r="T234" s="4">
        <v>84.382378888873134</v>
      </c>
      <c r="U234" s="7">
        <v>0.37318761413951385</v>
      </c>
    </row>
    <row r="235" spans="19:21" x14ac:dyDescent="0.25">
      <c r="S235" s="11">
        <v>217</v>
      </c>
      <c r="T235" s="4">
        <v>77.487833274782588</v>
      </c>
      <c r="U235" s="7">
        <v>0.26098996378816253</v>
      </c>
    </row>
    <row r="236" spans="19:21" x14ac:dyDescent="0.25">
      <c r="S236" s="11">
        <v>218</v>
      </c>
      <c r="T236" s="4">
        <v>80.049788792594498</v>
      </c>
      <c r="U236" s="7">
        <v>0.30268167278428804</v>
      </c>
    </row>
    <row r="237" spans="19:21" x14ac:dyDescent="0.25">
      <c r="S237" s="11">
        <v>219</v>
      </c>
      <c r="T237" s="4">
        <v>72.175130021361269</v>
      </c>
      <c r="U237" s="7">
        <v>0.17453425583989035</v>
      </c>
    </row>
    <row r="238" spans="19:21" x14ac:dyDescent="0.25">
      <c r="S238" s="11">
        <v>220</v>
      </c>
      <c r="T238" s="4">
        <v>67.338936292187825</v>
      </c>
      <c r="U238" s="7">
        <v>9.5832974649110225E-2</v>
      </c>
    </row>
    <row r="239" spans="19:21" x14ac:dyDescent="0.25">
      <c r="S239" s="11">
        <v>221</v>
      </c>
      <c r="T239" s="4">
        <v>65.875323585441336</v>
      </c>
      <c r="U239" s="7">
        <v>7.2015029868858216E-2</v>
      </c>
    </row>
    <row r="240" spans="19:21" x14ac:dyDescent="0.25">
      <c r="S240" s="11">
        <v>222</v>
      </c>
      <c r="T240" s="4">
        <v>79.450220663490512</v>
      </c>
      <c r="U240" s="7">
        <v>0.29292466498764047</v>
      </c>
    </row>
    <row r="241" spans="19:21" x14ac:dyDescent="0.25">
      <c r="S241" s="11">
        <v>223</v>
      </c>
      <c r="T241" s="4">
        <v>65.464339374337854</v>
      </c>
      <c r="U241" s="7">
        <v>6.5326922283772904E-2</v>
      </c>
    </row>
    <row r="242" spans="19:21" x14ac:dyDescent="0.25">
      <c r="S242" s="11">
        <v>224</v>
      </c>
      <c r="T242" s="4">
        <v>85.083482773428912</v>
      </c>
      <c r="U242" s="7">
        <v>0.38459695318842813</v>
      </c>
    </row>
    <row r="243" spans="19:21" x14ac:dyDescent="0.25">
      <c r="S243" s="11">
        <v>225</v>
      </c>
      <c r="T243" s="4">
        <v>90.689858997349646</v>
      </c>
      <c r="U243" s="7">
        <v>0.47583171679983138</v>
      </c>
    </row>
    <row r="244" spans="19:21" x14ac:dyDescent="0.25">
      <c r="S244" s="11">
        <v>226</v>
      </c>
      <c r="T244" s="4">
        <v>70.102606069662599</v>
      </c>
      <c r="U244" s="7">
        <v>0.14080725906692582</v>
      </c>
    </row>
    <row r="245" spans="19:21" x14ac:dyDescent="0.25">
      <c r="S245" s="11">
        <v>227</v>
      </c>
      <c r="T245" s="4">
        <v>64.572541270225031</v>
      </c>
      <c r="U245" s="7">
        <v>5.0814341256713247E-2</v>
      </c>
    </row>
    <row r="246" spans="19:21" x14ac:dyDescent="0.25">
      <c r="S246" s="11">
        <v>228</v>
      </c>
      <c r="T246" s="4">
        <v>80.745439432184128</v>
      </c>
      <c r="U246" s="7">
        <v>0.3140022690347295</v>
      </c>
    </row>
    <row r="247" spans="19:21" x14ac:dyDescent="0.25">
      <c r="S247" s="11">
        <v>229</v>
      </c>
      <c r="T247" s="4">
        <v>69.655365674241366</v>
      </c>
      <c r="U247" s="7">
        <v>0.1335291403456691</v>
      </c>
    </row>
    <row r="248" spans="19:21" x14ac:dyDescent="0.25">
      <c r="S248" s="11">
        <v>230</v>
      </c>
      <c r="T248" s="4">
        <v>62.699820357457881</v>
      </c>
      <c r="U248" s="7">
        <v>2.0338817859363312E-2</v>
      </c>
    </row>
    <row r="249" spans="19:21" x14ac:dyDescent="0.25">
      <c r="S249" s="11">
        <v>231</v>
      </c>
      <c r="T249" s="4">
        <v>71.05051081839531</v>
      </c>
      <c r="U249" s="7">
        <v>0.15623288557193349</v>
      </c>
    </row>
    <row r="250" spans="19:21" x14ac:dyDescent="0.25">
      <c r="S250" s="11">
        <v>232</v>
      </c>
      <c r="T250" s="4">
        <v>59.498268523856282</v>
      </c>
      <c r="U250" s="7">
        <v>-3.1761293346521113E-2</v>
      </c>
    </row>
    <row r="251" spans="19:21" x14ac:dyDescent="0.25">
      <c r="S251" s="11">
        <v>233</v>
      </c>
      <c r="T251" s="4">
        <v>106.74617640760415</v>
      </c>
      <c r="U251" s="7">
        <v>0.73712248018883897</v>
      </c>
    </row>
    <row r="252" spans="19:21" x14ac:dyDescent="0.25">
      <c r="S252" s="11">
        <v>234</v>
      </c>
      <c r="T252" s="4">
        <v>76.513460284453686</v>
      </c>
      <c r="U252" s="7">
        <v>0.2451336091855767</v>
      </c>
    </row>
    <row r="253" spans="19:21" x14ac:dyDescent="0.25">
      <c r="S253" s="11">
        <v>235</v>
      </c>
      <c r="T253" s="4">
        <v>97.981448037825643</v>
      </c>
      <c r="U253" s="7">
        <v>0.59449061086778898</v>
      </c>
    </row>
    <row r="254" spans="19:21" x14ac:dyDescent="0.25">
      <c r="S254" s="11">
        <v>236</v>
      </c>
      <c r="T254" s="4">
        <v>89.015756069491374</v>
      </c>
      <c r="U254" s="7">
        <v>0.44858838192825656</v>
      </c>
    </row>
    <row r="255" spans="19:21" x14ac:dyDescent="0.25">
      <c r="S255" s="11">
        <v>237</v>
      </c>
      <c r="T255" s="4">
        <v>84.492135312926251</v>
      </c>
      <c r="U255" s="7">
        <v>0.37497372356267289</v>
      </c>
    </row>
    <row r="256" spans="19:21" x14ac:dyDescent="0.25">
      <c r="S256" s="11">
        <v>238</v>
      </c>
      <c r="T256" s="4">
        <v>88.761766873154443</v>
      </c>
      <c r="U256" s="7">
        <v>0.44445511591789155</v>
      </c>
    </row>
    <row r="257" spans="19:21" x14ac:dyDescent="0.25">
      <c r="S257" s="11">
        <v>239</v>
      </c>
      <c r="T257" s="4">
        <v>74.48924101607841</v>
      </c>
      <c r="U257" s="7">
        <v>0.21219269350819214</v>
      </c>
    </row>
    <row r="258" spans="19:21" x14ac:dyDescent="0.25">
      <c r="S258" s="11">
        <v>240</v>
      </c>
      <c r="T258" s="4">
        <v>49.438383987071987</v>
      </c>
      <c r="U258" s="7">
        <v>-0.19546974797279115</v>
      </c>
    </row>
    <row r="259" spans="19:21" x14ac:dyDescent="0.25">
      <c r="S259" s="11">
        <v>241</v>
      </c>
      <c r="T259" s="4">
        <v>83.500593370112554</v>
      </c>
      <c r="U259" s="7">
        <v>0.35883797184886168</v>
      </c>
    </row>
    <row r="260" spans="19:21" x14ac:dyDescent="0.25">
      <c r="S260" s="11">
        <v>242</v>
      </c>
      <c r="T260" s="4">
        <v>73.918038878048534</v>
      </c>
      <c r="U260" s="7">
        <v>0.20289729663219735</v>
      </c>
    </row>
    <row r="261" spans="19:21" x14ac:dyDescent="0.25">
      <c r="S261" s="11">
        <v>243</v>
      </c>
      <c r="T261" s="4">
        <v>85.006734678392533</v>
      </c>
      <c r="U261" s="7">
        <v>0.38334800127571245</v>
      </c>
    </row>
    <row r="262" spans="19:21" x14ac:dyDescent="0.25">
      <c r="S262" s="11">
        <v>244</v>
      </c>
      <c r="T262" s="4">
        <v>75.156891331013696</v>
      </c>
      <c r="U262" s="7">
        <v>0.22305762947133756</v>
      </c>
    </row>
    <row r="263" spans="19:21" x14ac:dyDescent="0.25">
      <c r="S263" s="11">
        <v>245</v>
      </c>
      <c r="T263" s="4">
        <v>62.92100384183999</v>
      </c>
      <c r="U263" s="7">
        <v>2.3938223626362776E-2</v>
      </c>
    </row>
    <row r="264" spans="19:21" x14ac:dyDescent="0.25">
      <c r="S264" s="11">
        <v>246</v>
      </c>
      <c r="T264" s="4">
        <v>81.968633081801187</v>
      </c>
      <c r="U264" s="7">
        <v>0.33390778001303789</v>
      </c>
    </row>
    <row r="265" spans="19:21" x14ac:dyDescent="0.25">
      <c r="S265" s="11">
        <v>247</v>
      </c>
      <c r="T265" s="4">
        <v>74.756334515401548</v>
      </c>
      <c r="U265" s="7">
        <v>0.21653921099107487</v>
      </c>
    </row>
    <row r="266" spans="19:21" x14ac:dyDescent="0.25">
      <c r="S266" s="11">
        <v>248</v>
      </c>
      <c r="T266" s="4">
        <v>95.736641432123363</v>
      </c>
      <c r="U266" s="7">
        <v>0.55795999075872027</v>
      </c>
    </row>
    <row r="267" spans="19:21" x14ac:dyDescent="0.25">
      <c r="S267" s="11">
        <v>249</v>
      </c>
      <c r="T267" s="4">
        <v>66.881338148877205</v>
      </c>
      <c r="U267" s="7">
        <v>8.8386300225829162E-2</v>
      </c>
    </row>
    <row r="268" spans="19:21" x14ac:dyDescent="0.25">
      <c r="S268" s="11">
        <v>250</v>
      </c>
      <c r="T268" s="4">
        <v>61.957047865514461</v>
      </c>
      <c r="U268" s="7">
        <v>8.2513891865656497E-3</v>
      </c>
    </row>
    <row r="269" spans="19:21" x14ac:dyDescent="0.25">
      <c r="S269" s="11">
        <v>251</v>
      </c>
      <c r="T269" s="4">
        <v>78.873001784541884</v>
      </c>
      <c r="U269" s="7">
        <v>0.28353135532208107</v>
      </c>
    </row>
    <row r="270" spans="19:21" x14ac:dyDescent="0.25">
      <c r="S270" s="11">
        <v>252</v>
      </c>
      <c r="T270" s="4">
        <v>67.630185267316719</v>
      </c>
      <c r="U270" s="7">
        <v>0.10057258368294075</v>
      </c>
    </row>
    <row r="271" spans="19:21" x14ac:dyDescent="0.25">
      <c r="S271" s="11">
        <v>253</v>
      </c>
      <c r="T271" s="4">
        <v>84.481799553236797</v>
      </c>
      <c r="U271" s="7">
        <v>0.37480552568326764</v>
      </c>
    </row>
    <row r="272" spans="19:21" x14ac:dyDescent="0.25">
      <c r="S272" s="11">
        <v>254</v>
      </c>
      <c r="T272" s="4">
        <v>58.101127670933835</v>
      </c>
      <c r="U272" s="7">
        <v>-5.4497515525893658E-2</v>
      </c>
    </row>
    <row r="273" spans="19:21" x14ac:dyDescent="0.25">
      <c r="S273" s="11">
        <v>255</v>
      </c>
      <c r="T273" s="4">
        <v>71.713817281777082</v>
      </c>
      <c r="U273" s="7">
        <v>0.16702713233160416</v>
      </c>
    </row>
    <row r="274" spans="19:21" x14ac:dyDescent="0.25">
      <c r="S274" s="11">
        <v>256</v>
      </c>
      <c r="T274" s="4">
        <v>77.726587519243068</v>
      </c>
      <c r="U274" s="7">
        <v>0.26487530543926874</v>
      </c>
    </row>
    <row r="275" spans="19:21" x14ac:dyDescent="0.25">
      <c r="S275" s="11">
        <v>257</v>
      </c>
      <c r="T275" s="4">
        <v>81.098533371675302</v>
      </c>
      <c r="U275" s="7">
        <v>0.31974830547884947</v>
      </c>
    </row>
    <row r="276" spans="19:21" x14ac:dyDescent="0.25">
      <c r="S276" s="11">
        <v>258</v>
      </c>
      <c r="T276" s="4">
        <v>60.984416892343916</v>
      </c>
      <c r="U276" s="7">
        <v>-7.5766168861852723E-3</v>
      </c>
    </row>
    <row r="277" spans="19:21" x14ac:dyDescent="0.25">
      <c r="S277" s="11">
        <v>259</v>
      </c>
      <c r="T277" s="4">
        <v>96.373703102794224</v>
      </c>
      <c r="U277" s="7">
        <v>0.56832714569233889</v>
      </c>
    </row>
    <row r="278" spans="19:21" x14ac:dyDescent="0.25">
      <c r="S278" s="11">
        <v>260</v>
      </c>
      <c r="T278" s="4">
        <v>73.819715410475837</v>
      </c>
      <c r="U278" s="7">
        <v>0.2012972402030242</v>
      </c>
    </row>
    <row r="279" spans="19:21" x14ac:dyDescent="0.25">
      <c r="S279" s="11">
        <v>261</v>
      </c>
      <c r="T279" s="4">
        <v>69.701681696683693</v>
      </c>
      <c r="U279" s="7">
        <v>0.13428285918118288</v>
      </c>
    </row>
    <row r="280" spans="19:21" x14ac:dyDescent="0.25">
      <c r="S280" s="11">
        <v>262</v>
      </c>
      <c r="T280" s="4">
        <v>66.468220493395762</v>
      </c>
      <c r="U280" s="7">
        <v>8.1663474261932656E-2</v>
      </c>
    </row>
    <row r="281" spans="19:21" x14ac:dyDescent="0.25">
      <c r="S281" s="11">
        <v>263</v>
      </c>
      <c r="T281" s="4">
        <v>66.481043807106943</v>
      </c>
      <c r="U281" s="7">
        <v>8.1872153085548183E-2</v>
      </c>
    </row>
    <row r="282" spans="19:21" x14ac:dyDescent="0.25">
      <c r="S282" s="11">
        <v>264</v>
      </c>
      <c r="T282" s="4">
        <v>87.727829847412593</v>
      </c>
      <c r="U282" s="7">
        <v>0.42762945235821959</v>
      </c>
    </row>
    <row r="283" spans="19:21" x14ac:dyDescent="0.25">
      <c r="S283" s="11">
        <v>265</v>
      </c>
      <c r="T283" s="4">
        <v>68.937374789744496</v>
      </c>
      <c r="U283" s="7">
        <v>0.1218449925100813</v>
      </c>
    </row>
    <row r="284" spans="19:21" x14ac:dyDescent="0.25">
      <c r="S284" s="11">
        <v>266</v>
      </c>
      <c r="T284" s="4">
        <v>67.643419688207601</v>
      </c>
      <c r="U284" s="7">
        <v>0.10078795261525797</v>
      </c>
    </row>
    <row r="285" spans="19:21" x14ac:dyDescent="0.25">
      <c r="S285" s="11">
        <v>267</v>
      </c>
      <c r="T285" s="4">
        <v>60.302598059605309</v>
      </c>
      <c r="U285" s="7">
        <v>-1.8672122707806271E-2</v>
      </c>
    </row>
    <row r="286" spans="19:21" x14ac:dyDescent="0.25">
      <c r="S286" s="11">
        <v>268</v>
      </c>
      <c r="T286" s="4">
        <v>61.535107703868583</v>
      </c>
      <c r="U286" s="7">
        <v>1.3849911125887182E-3</v>
      </c>
    </row>
    <row r="287" spans="19:21" x14ac:dyDescent="0.25">
      <c r="S287" s="11">
        <v>269</v>
      </c>
      <c r="T287" s="4">
        <v>99.935358990336482</v>
      </c>
      <c r="U287" s="7">
        <v>0.62628737168977189</v>
      </c>
    </row>
    <row r="288" spans="19:21" x14ac:dyDescent="0.25">
      <c r="S288" s="11">
        <v>270</v>
      </c>
      <c r="T288" s="4">
        <v>88.54739883636995</v>
      </c>
      <c r="U288" s="7">
        <v>0.44096662060813574</v>
      </c>
    </row>
    <row r="289" spans="19:21" x14ac:dyDescent="0.25">
      <c r="S289" s="11">
        <v>271</v>
      </c>
      <c r="T289" s="4">
        <v>85.156528934816606</v>
      </c>
      <c r="U289" s="7">
        <v>0.38578566208000975</v>
      </c>
    </row>
    <row r="290" spans="19:21" x14ac:dyDescent="0.25">
      <c r="S290" s="11">
        <v>272</v>
      </c>
      <c r="T290" s="4">
        <v>97.321166839328342</v>
      </c>
      <c r="U290" s="7">
        <v>0.58374559543251969</v>
      </c>
    </row>
    <row r="291" spans="19:21" x14ac:dyDescent="0.25">
      <c r="S291" s="11">
        <v>273</v>
      </c>
      <c r="T291" s="4">
        <v>71.708591212659158</v>
      </c>
      <c r="U291" s="7">
        <v>0.16694208645499042</v>
      </c>
    </row>
    <row r="292" spans="19:21" x14ac:dyDescent="0.25">
      <c r="S292" s="11">
        <v>274</v>
      </c>
      <c r="T292" s="4">
        <v>81.930041914481833</v>
      </c>
      <c r="U292" s="7">
        <v>0.33327977078082727</v>
      </c>
    </row>
    <row r="293" spans="19:21" x14ac:dyDescent="0.25">
      <c r="S293" s="11">
        <v>275</v>
      </c>
      <c r="T293" s="4">
        <v>76.276340023515431</v>
      </c>
      <c r="U293" s="7">
        <v>0.24127485799048709</v>
      </c>
    </row>
    <row r="294" spans="19:21" x14ac:dyDescent="0.25">
      <c r="S294" s="11">
        <v>276</v>
      </c>
      <c r="T294" s="4">
        <v>90.333639229255283</v>
      </c>
      <c r="U294" s="7">
        <v>0.47003481251839352</v>
      </c>
    </row>
    <row r="295" spans="19:21" x14ac:dyDescent="0.25">
      <c r="S295" s="11">
        <v>277</v>
      </c>
      <c r="T295" s="4">
        <v>74.826110368195017</v>
      </c>
      <c r="U295" s="7">
        <v>0.21767470086566343</v>
      </c>
    </row>
    <row r="296" spans="19:21" x14ac:dyDescent="0.25">
      <c r="S296" s="11">
        <v>278</v>
      </c>
      <c r="T296" s="4">
        <v>78.893927740714929</v>
      </c>
      <c r="U296" s="7">
        <v>0.28387189163083693</v>
      </c>
    </row>
    <row r="297" spans="19:21" x14ac:dyDescent="0.25">
      <c r="S297" s="11">
        <v>279</v>
      </c>
      <c r="T297" s="4">
        <v>72.717024381647207</v>
      </c>
      <c r="U297" s="7">
        <v>0.18335271573062983</v>
      </c>
    </row>
    <row r="298" spans="19:21" x14ac:dyDescent="0.25">
      <c r="S298" s="11">
        <v>280</v>
      </c>
      <c r="T298" s="4">
        <v>60.544512670799989</v>
      </c>
      <c r="U298" s="7">
        <v>-1.4735351166802468E-2</v>
      </c>
    </row>
    <row r="299" spans="19:21" x14ac:dyDescent="0.25">
      <c r="S299" s="11">
        <v>281</v>
      </c>
      <c r="T299" s="4">
        <v>74.231176539832461</v>
      </c>
      <c r="U299" s="7">
        <v>0.20799310886627276</v>
      </c>
    </row>
    <row r="300" spans="19:21" x14ac:dyDescent="0.25">
      <c r="S300" s="11">
        <v>282</v>
      </c>
      <c r="T300" s="4">
        <v>86.931280990450617</v>
      </c>
      <c r="U300" s="7">
        <v>0.41466689976323212</v>
      </c>
    </row>
    <row r="301" spans="19:21" x14ac:dyDescent="0.25">
      <c r="S301" s="11">
        <v>283</v>
      </c>
      <c r="T301" s="4">
        <v>76.604614159092748</v>
      </c>
      <c r="U301" s="7">
        <v>0.24661699201127329</v>
      </c>
    </row>
    <row r="302" spans="19:21" x14ac:dyDescent="0.25">
      <c r="S302" s="11">
        <v>284</v>
      </c>
      <c r="T302" s="4">
        <v>71.426661010682963</v>
      </c>
      <c r="U302" s="7">
        <v>0.16235412547897421</v>
      </c>
    </row>
    <row r="303" spans="19:21" x14ac:dyDescent="0.25">
      <c r="S303" s="11">
        <v>285</v>
      </c>
      <c r="T303" s="4">
        <v>45.697658257345353</v>
      </c>
      <c r="U303" s="7">
        <v>-0.25634404788697562</v>
      </c>
    </row>
    <row r="304" spans="19:21" x14ac:dyDescent="0.25">
      <c r="S304" s="11">
        <v>286</v>
      </c>
      <c r="T304" s="4">
        <v>85.04521947483066</v>
      </c>
      <c r="U304" s="7">
        <v>0.38397427949276897</v>
      </c>
    </row>
    <row r="305" spans="19:21" x14ac:dyDescent="0.25">
      <c r="S305" s="11">
        <v>287</v>
      </c>
      <c r="T305" s="4">
        <v>89.488356785871844</v>
      </c>
      <c r="U305" s="7">
        <v>0.45627919911915127</v>
      </c>
    </row>
    <row r="306" spans="19:21" x14ac:dyDescent="0.25">
      <c r="S306" s="11">
        <v>288</v>
      </c>
      <c r="T306" s="4">
        <v>77.083807962138749</v>
      </c>
      <c r="U306" s="7">
        <v>0.25441510109257526</v>
      </c>
    </row>
    <row r="307" spans="19:21" x14ac:dyDescent="0.25">
      <c r="S307" s="11">
        <v>289</v>
      </c>
      <c r="T307" s="4">
        <v>82.104672170203102</v>
      </c>
      <c r="U307" s="7">
        <v>0.3361215975622962</v>
      </c>
    </row>
    <row r="308" spans="19:21" x14ac:dyDescent="0.25">
      <c r="S308" s="11">
        <v>290</v>
      </c>
      <c r="T308" s="4">
        <v>70.532900359700704</v>
      </c>
      <c r="U308" s="7">
        <v>0.14780960715542224</v>
      </c>
    </row>
    <row r="309" spans="19:21" x14ac:dyDescent="0.25">
      <c r="S309" s="11">
        <v>291</v>
      </c>
      <c r="T309" s="4">
        <v>78.366557296999432</v>
      </c>
      <c r="U309" s="7">
        <v>0.27528978514238278</v>
      </c>
    </row>
    <row r="310" spans="19:21" x14ac:dyDescent="0.25">
      <c r="S310" s="11">
        <v>292</v>
      </c>
      <c r="T310" s="4">
        <v>67.283904993932012</v>
      </c>
      <c r="U310" s="7">
        <v>9.4937428705158755E-2</v>
      </c>
    </row>
    <row r="311" spans="19:21" x14ac:dyDescent="0.25">
      <c r="S311" s="11">
        <v>293</v>
      </c>
      <c r="T311" s="4">
        <v>75.292689131209741</v>
      </c>
      <c r="U311" s="7">
        <v>0.22526752044279474</v>
      </c>
    </row>
    <row r="312" spans="19:21" x14ac:dyDescent="0.25">
      <c r="S312" s="11">
        <v>294</v>
      </c>
      <c r="T312" s="4">
        <v>71.095169786583966</v>
      </c>
      <c r="U312" s="7">
        <v>0.15695963851235084</v>
      </c>
    </row>
    <row r="313" spans="19:21" x14ac:dyDescent="0.25">
      <c r="S313" s="11">
        <v>295</v>
      </c>
      <c r="T313" s="4">
        <v>76.449488224054093</v>
      </c>
      <c r="U313" s="7">
        <v>0.24409256670551804</v>
      </c>
    </row>
    <row r="314" spans="19:21" x14ac:dyDescent="0.25">
      <c r="S314" s="11">
        <v>296</v>
      </c>
      <c r="T314" s="4">
        <v>71.44510331816744</v>
      </c>
      <c r="U314" s="7">
        <v>0.16265424439654086</v>
      </c>
    </row>
    <row r="315" spans="19:21" x14ac:dyDescent="0.25">
      <c r="S315" s="11">
        <v>297</v>
      </c>
      <c r="T315" s="4">
        <v>78.344769386445435</v>
      </c>
      <c r="U315" s="7">
        <v>0.27493522191123576</v>
      </c>
    </row>
    <row r="316" spans="19:21" x14ac:dyDescent="0.25">
      <c r="S316" s="11">
        <v>298</v>
      </c>
      <c r="T316" s="4">
        <v>76.080395871214421</v>
      </c>
      <c r="U316" s="7">
        <v>0.23808618179356245</v>
      </c>
    </row>
    <row r="317" spans="19:21" x14ac:dyDescent="0.25">
      <c r="S317" s="11">
        <v>299</v>
      </c>
      <c r="T317" s="4">
        <v>57.663310481592369</v>
      </c>
      <c r="U317" s="7">
        <v>-6.1622286711271457E-2</v>
      </c>
    </row>
    <row r="318" spans="19:21" x14ac:dyDescent="0.25">
      <c r="S318" s="11">
        <v>300</v>
      </c>
      <c r="T318" s="4">
        <v>75.08795824524924</v>
      </c>
      <c r="U318" s="7">
        <v>0.22193585427582163</v>
      </c>
    </row>
    <row r="319" spans="19:21" x14ac:dyDescent="0.25">
      <c r="S319" s="11">
        <v>301</v>
      </c>
      <c r="T319" s="4">
        <v>66.321014596575225</v>
      </c>
      <c r="U319" s="7">
        <v>7.9267934850695276E-2</v>
      </c>
    </row>
    <row r="320" spans="19:21" x14ac:dyDescent="0.25">
      <c r="S320" s="11">
        <v>302</v>
      </c>
      <c r="T320" s="4">
        <v>95.810977493914294</v>
      </c>
      <c r="U320" s="7">
        <v>0.5591696907064978</v>
      </c>
    </row>
    <row r="321" spans="19:21" x14ac:dyDescent="0.25">
      <c r="S321" s="11">
        <v>303</v>
      </c>
      <c r="T321" s="4">
        <v>77.811715674500704</v>
      </c>
      <c r="U321" s="7">
        <v>0.26626062936534911</v>
      </c>
    </row>
    <row r="322" spans="19:21" x14ac:dyDescent="0.25">
      <c r="S322" s="11">
        <v>304</v>
      </c>
      <c r="T322" s="4">
        <v>69.710247810507724</v>
      </c>
      <c r="U322" s="7">
        <v>0.1344222589179449</v>
      </c>
    </row>
    <row r="323" spans="19:21" x14ac:dyDescent="0.25">
      <c r="S323" s="11">
        <v>305</v>
      </c>
      <c r="T323" s="4">
        <v>69.10916217297104</v>
      </c>
      <c r="U323" s="7">
        <v>0.12464055611018776</v>
      </c>
    </row>
    <row r="324" spans="19:21" x14ac:dyDescent="0.25">
      <c r="S324" s="11">
        <v>306</v>
      </c>
      <c r="T324" s="4">
        <v>67.440431610218383</v>
      </c>
      <c r="U324" s="7">
        <v>9.7484647847329242E-2</v>
      </c>
    </row>
    <row r="325" spans="19:21" x14ac:dyDescent="0.25">
      <c r="S325" s="11">
        <v>307</v>
      </c>
      <c r="T325" s="4">
        <v>82.599660163289116</v>
      </c>
      <c r="U325" s="7">
        <v>0.34417673170527441</v>
      </c>
    </row>
    <row r="326" spans="19:21" x14ac:dyDescent="0.25">
      <c r="S326" s="11">
        <v>308</v>
      </c>
      <c r="T326" s="4">
        <v>74.28997978397642</v>
      </c>
      <c r="U326" s="7">
        <v>0.20895003716804594</v>
      </c>
    </row>
    <row r="327" spans="19:21" x14ac:dyDescent="0.25">
      <c r="S327" s="11">
        <v>309</v>
      </c>
      <c r="T327" s="4">
        <v>82.169661850429378</v>
      </c>
      <c r="U327" s="7">
        <v>0.33717920016972136</v>
      </c>
    </row>
    <row r="328" spans="19:21" x14ac:dyDescent="0.25">
      <c r="S328" s="11">
        <v>310</v>
      </c>
      <c r="T328" s="4">
        <v>101.0871795640425</v>
      </c>
      <c r="U328" s="7">
        <v>0.645031400553987</v>
      </c>
    </row>
    <row r="329" spans="19:21" x14ac:dyDescent="0.25">
      <c r="S329" s="11">
        <v>311</v>
      </c>
      <c r="T329" s="4">
        <v>88.320831889234782</v>
      </c>
      <c r="U329" s="7">
        <v>0.4372796076360419</v>
      </c>
    </row>
    <row r="330" spans="19:21" x14ac:dyDescent="0.25">
      <c r="S330" s="11">
        <v>312</v>
      </c>
      <c r="T330" s="4">
        <v>76.199180332800452</v>
      </c>
      <c r="U330" s="7">
        <v>0.24001920801953536</v>
      </c>
    </row>
    <row r="331" spans="19:21" x14ac:dyDescent="0.25">
      <c r="S331" s="11">
        <v>313</v>
      </c>
      <c r="T331" s="4">
        <v>81.351010631916068</v>
      </c>
      <c r="U331" s="7">
        <v>0.32385696715892709</v>
      </c>
    </row>
    <row r="332" spans="19:21" x14ac:dyDescent="0.25">
      <c r="S332" s="11">
        <v>314</v>
      </c>
      <c r="T332" s="4">
        <v>69.056568401193005</v>
      </c>
      <c r="U332" s="7">
        <v>0.12378467699256301</v>
      </c>
    </row>
    <row r="333" spans="19:21" x14ac:dyDescent="0.25">
      <c r="S333" s="11">
        <v>315</v>
      </c>
      <c r="T333" s="4">
        <v>69.79193311654798</v>
      </c>
      <c r="U333" s="7">
        <v>0.1357515560056628</v>
      </c>
    </row>
    <row r="334" spans="19:21" x14ac:dyDescent="0.25">
      <c r="S334" s="11">
        <v>316</v>
      </c>
      <c r="T334" s="4">
        <v>57.501976215328327</v>
      </c>
      <c r="U334" s="7">
        <v>-6.424774263094668E-2</v>
      </c>
    </row>
    <row r="335" spans="19:21" x14ac:dyDescent="0.25">
      <c r="S335" s="11">
        <v>317</v>
      </c>
      <c r="T335" s="4">
        <v>84.447396937325919</v>
      </c>
      <c r="U335" s="7">
        <v>0.37424567839423784</v>
      </c>
    </row>
    <row r="336" spans="19:21" x14ac:dyDescent="0.25">
      <c r="S336" s="11">
        <v>318</v>
      </c>
      <c r="T336" s="4">
        <v>69.872791505393977</v>
      </c>
      <c r="U336" s="7">
        <v>0.13706739634489784</v>
      </c>
    </row>
    <row r="337" spans="19:21" x14ac:dyDescent="0.25">
      <c r="S337" s="11">
        <v>319</v>
      </c>
      <c r="T337" s="4">
        <v>79.01440699171755</v>
      </c>
      <c r="U337" s="7">
        <v>0.28583249783104225</v>
      </c>
    </row>
    <row r="338" spans="19:21" x14ac:dyDescent="0.25">
      <c r="S338" s="11">
        <v>320</v>
      </c>
      <c r="T338" s="4">
        <v>65.790287598341877</v>
      </c>
      <c r="U338" s="7">
        <v>7.0631205831438226E-2</v>
      </c>
    </row>
    <row r="339" spans="19:21" x14ac:dyDescent="0.25">
      <c r="S339" s="11">
        <v>321</v>
      </c>
      <c r="T339" s="4">
        <v>78.562686257408345</v>
      </c>
      <c r="U339" s="7">
        <v>0.27848146879427738</v>
      </c>
    </row>
    <row r="340" spans="19:21" x14ac:dyDescent="0.25">
      <c r="S340" s="11">
        <v>322</v>
      </c>
      <c r="T340" s="4">
        <v>87.584651774893331</v>
      </c>
      <c r="U340" s="7">
        <v>0.42529945931478164</v>
      </c>
    </row>
    <row r="341" spans="19:21" x14ac:dyDescent="0.25">
      <c r="S341" s="11">
        <v>323</v>
      </c>
      <c r="T341" s="4">
        <v>79.278927856809489</v>
      </c>
      <c r="U341" s="7">
        <v>0.29013714982602901</v>
      </c>
    </row>
    <row r="342" spans="19:21" x14ac:dyDescent="0.25">
      <c r="S342" s="11">
        <v>324</v>
      </c>
      <c r="T342" s="4">
        <v>101.98708753461864</v>
      </c>
      <c r="U342" s="7">
        <v>0.65967595662520151</v>
      </c>
    </row>
    <row r="343" spans="19:21" x14ac:dyDescent="0.25">
      <c r="S343" s="11">
        <v>325</v>
      </c>
      <c r="T343" s="4">
        <v>94.386245719072051</v>
      </c>
      <c r="U343" s="7">
        <v>0.53598447061142473</v>
      </c>
    </row>
    <row r="344" spans="19:21" x14ac:dyDescent="0.25">
      <c r="S344" s="11">
        <v>326</v>
      </c>
      <c r="T344" s="4">
        <v>63.097603665451508</v>
      </c>
      <c r="U344" s="7">
        <v>2.68121019601546E-2</v>
      </c>
    </row>
    <row r="345" spans="19:21" x14ac:dyDescent="0.25">
      <c r="S345" s="11">
        <v>327</v>
      </c>
      <c r="T345" s="4">
        <v>85.220761809751991</v>
      </c>
      <c r="U345" s="7">
        <v>0.38683094889750991</v>
      </c>
    </row>
    <row r="346" spans="19:21" x14ac:dyDescent="0.25">
      <c r="S346" s="11">
        <v>328</v>
      </c>
      <c r="T346" s="4">
        <v>78.97477284557489</v>
      </c>
      <c r="U346" s="7">
        <v>0.28518751579454649</v>
      </c>
    </row>
    <row r="347" spans="19:21" x14ac:dyDescent="0.25">
      <c r="S347" s="11">
        <v>329</v>
      </c>
      <c r="T347" s="4">
        <v>58.569712203873252</v>
      </c>
      <c r="U347" s="7">
        <v>-4.6872055266505286E-2</v>
      </c>
    </row>
    <row r="348" spans="19:21" x14ac:dyDescent="0.25">
      <c r="S348" s="11">
        <v>330</v>
      </c>
      <c r="T348" s="4">
        <v>63.085831494984625</v>
      </c>
      <c r="U348" s="7">
        <v>2.6620528803655397E-2</v>
      </c>
    </row>
    <row r="349" spans="19:21" x14ac:dyDescent="0.25">
      <c r="S349" s="11">
        <v>331</v>
      </c>
      <c r="T349" s="4">
        <v>56.126050760281124</v>
      </c>
      <c r="U349" s="7">
        <v>-8.6638718302992301E-2</v>
      </c>
    </row>
    <row r="350" spans="19:21" x14ac:dyDescent="0.25">
      <c r="S350" s="11">
        <v>332</v>
      </c>
      <c r="T350" s="4">
        <v>84.510489570889831</v>
      </c>
      <c r="U350" s="7">
        <v>0.37527240961578245</v>
      </c>
    </row>
    <row r="351" spans="19:21" x14ac:dyDescent="0.25">
      <c r="S351" s="11">
        <v>333</v>
      </c>
      <c r="T351" s="4">
        <v>71.243824091816521</v>
      </c>
      <c r="U351" s="7">
        <v>0.159378748442905</v>
      </c>
    </row>
    <row r="352" spans="19:21" x14ac:dyDescent="0.25">
      <c r="S352" s="11">
        <v>334</v>
      </c>
      <c r="T352" s="4">
        <v>101.68662591656229</v>
      </c>
      <c r="U352" s="7">
        <v>0.65478642663242126</v>
      </c>
    </row>
    <row r="353" spans="19:21" x14ac:dyDescent="0.25">
      <c r="S353" s="11">
        <v>335</v>
      </c>
      <c r="T353" s="4">
        <v>93.150612966744077</v>
      </c>
      <c r="U353" s="7">
        <v>0.51587653322610372</v>
      </c>
    </row>
    <row r="354" spans="19:21" x14ac:dyDescent="0.25">
      <c r="S354" s="11">
        <v>336</v>
      </c>
      <c r="T354" s="4">
        <v>54.426406287829238</v>
      </c>
      <c r="U354" s="7">
        <v>-0.11429770076762835</v>
      </c>
    </row>
    <row r="355" spans="19:21" x14ac:dyDescent="0.25">
      <c r="S355" s="11">
        <v>337</v>
      </c>
      <c r="T355" s="4">
        <v>74.077280606560848</v>
      </c>
      <c r="U355" s="7">
        <v>0.20548869986266638</v>
      </c>
    </row>
    <row r="356" spans="19:21" x14ac:dyDescent="0.25">
      <c r="S356" s="11">
        <v>338</v>
      </c>
      <c r="T356" s="4">
        <v>60.305588529444385</v>
      </c>
      <c r="U356" s="7">
        <v>-1.8623457616853023E-2</v>
      </c>
    </row>
    <row r="357" spans="19:21" x14ac:dyDescent="0.25">
      <c r="S357" s="11">
        <v>339</v>
      </c>
      <c r="T357" s="4">
        <v>70.962800044712623</v>
      </c>
      <c r="U357" s="7">
        <v>0.15480553368124683</v>
      </c>
    </row>
    <row r="358" spans="19:21" x14ac:dyDescent="0.25">
      <c r="S358" s="11">
        <v>340</v>
      </c>
      <c r="T358" s="4">
        <v>56.115516399161791</v>
      </c>
      <c r="U358" s="7">
        <v>-8.6810148101516882E-2</v>
      </c>
    </row>
    <row r="359" spans="19:21" x14ac:dyDescent="0.25">
      <c r="S359" s="11">
        <v>341</v>
      </c>
      <c r="T359" s="4">
        <v>65.358585085475156</v>
      </c>
      <c r="U359" s="7">
        <v>6.3605941179416536E-2</v>
      </c>
    </row>
    <row r="360" spans="19:21" x14ac:dyDescent="0.25">
      <c r="S360" s="11">
        <v>342</v>
      </c>
      <c r="T360" s="4">
        <v>93.048163548768827</v>
      </c>
      <c r="U360" s="7">
        <v>0.51420933358452103</v>
      </c>
    </row>
    <row r="361" spans="19:21" x14ac:dyDescent="0.25">
      <c r="S361" s="11">
        <v>343</v>
      </c>
      <c r="T361" s="4">
        <v>74.55505909029101</v>
      </c>
      <c r="U361" s="7">
        <v>0.21326377689651754</v>
      </c>
    </row>
    <row r="362" spans="19:21" x14ac:dyDescent="0.25">
      <c r="S362" s="11">
        <v>344</v>
      </c>
      <c r="T362" s="4">
        <v>57.961320801164419</v>
      </c>
      <c r="U362" s="7">
        <v>-5.6772647662092446E-2</v>
      </c>
    </row>
    <row r="363" spans="19:21" x14ac:dyDescent="0.25">
      <c r="S363" s="11">
        <v>345</v>
      </c>
      <c r="T363" s="4">
        <v>77.146913146749014</v>
      </c>
      <c r="U363" s="7">
        <v>0.25544203656222964</v>
      </c>
    </row>
    <row r="364" spans="19:21" x14ac:dyDescent="0.25">
      <c r="S364" s="11">
        <v>346</v>
      </c>
      <c r="T364" s="4">
        <v>69.342017997353523</v>
      </c>
      <c r="U364" s="7">
        <v>0.12842991045327135</v>
      </c>
    </row>
    <row r="365" spans="19:21" x14ac:dyDescent="0.25">
      <c r="S365" s="11">
        <v>347</v>
      </c>
      <c r="T365" s="4">
        <v>68.063756169782934</v>
      </c>
      <c r="U365" s="7">
        <v>0.1076282533731967</v>
      </c>
    </row>
    <row r="366" spans="19:21" x14ac:dyDescent="0.25">
      <c r="S366" s="11">
        <v>348</v>
      </c>
      <c r="T366" s="4">
        <v>76.551445319885573</v>
      </c>
      <c r="U366" s="7">
        <v>0.24575175459537135</v>
      </c>
    </row>
    <row r="367" spans="19:21" x14ac:dyDescent="0.25">
      <c r="S367" s="11">
        <v>349</v>
      </c>
      <c r="T367" s="4">
        <v>90.551225821589554</v>
      </c>
      <c r="U367" s="7">
        <v>0.47357568464751099</v>
      </c>
    </row>
    <row r="368" spans="19:21" x14ac:dyDescent="0.25">
      <c r="S368" s="11">
        <v>350</v>
      </c>
      <c r="T368" s="4">
        <v>77.061087220981648</v>
      </c>
      <c r="U368" s="7">
        <v>0.25404535754241886</v>
      </c>
    </row>
    <row r="369" spans="19:21" x14ac:dyDescent="0.25">
      <c r="S369" s="11">
        <v>351</v>
      </c>
      <c r="T369" s="4">
        <v>55.886856008988445</v>
      </c>
      <c r="U369" s="7">
        <v>-9.0531228494899252E-2</v>
      </c>
    </row>
    <row r="370" spans="19:21" x14ac:dyDescent="0.25">
      <c r="S370" s="11">
        <v>352</v>
      </c>
      <c r="T370" s="4">
        <v>76.875500537076462</v>
      </c>
      <c r="U370" s="7">
        <v>0.25102523249921016</v>
      </c>
    </row>
    <row r="371" spans="19:21" x14ac:dyDescent="0.25">
      <c r="S371" s="11">
        <v>353</v>
      </c>
      <c r="T371" s="4">
        <v>66.034456926766964</v>
      </c>
      <c r="U371" s="7">
        <v>7.4604669272041679E-2</v>
      </c>
    </row>
    <row r="372" spans="19:21" x14ac:dyDescent="0.25">
      <c r="S372" s="11">
        <v>354</v>
      </c>
      <c r="T372" s="4">
        <v>54.178376680092434</v>
      </c>
      <c r="U372" s="7">
        <v>-0.11833398405057072</v>
      </c>
    </row>
    <row r="373" spans="19:21" x14ac:dyDescent="0.25">
      <c r="S373" s="11">
        <v>355</v>
      </c>
      <c r="T373" s="4">
        <v>100.06639768837056</v>
      </c>
      <c r="U373" s="7">
        <v>0.6284198159214085</v>
      </c>
    </row>
    <row r="374" spans="19:21" x14ac:dyDescent="0.25">
      <c r="S374" s="11">
        <v>356</v>
      </c>
      <c r="T374" s="4">
        <v>62.980662613965734</v>
      </c>
      <c r="U374" s="7">
        <v>2.4909074271207921E-2</v>
      </c>
    </row>
    <row r="375" spans="19:21" x14ac:dyDescent="0.25">
      <c r="S375" s="11">
        <v>357</v>
      </c>
      <c r="T375" s="4">
        <v>63.817356732047379</v>
      </c>
      <c r="U375" s="7">
        <v>3.8524926477581323E-2</v>
      </c>
    </row>
    <row r="376" spans="19:21" x14ac:dyDescent="0.25">
      <c r="S376" s="11">
        <v>358</v>
      </c>
      <c r="T376" s="4">
        <v>65.760050961367895</v>
      </c>
      <c r="U376" s="7">
        <v>7.0139153154888501E-2</v>
      </c>
    </row>
    <row r="377" spans="19:21" x14ac:dyDescent="0.25">
      <c r="S377" s="11">
        <v>359</v>
      </c>
      <c r="T377" s="4">
        <v>79.733788081926875</v>
      </c>
      <c r="U377" s="7">
        <v>0.29753926903054295</v>
      </c>
    </row>
    <row r="378" spans="19:21" x14ac:dyDescent="0.25">
      <c r="S378" s="11">
        <v>360</v>
      </c>
      <c r="T378" s="4">
        <v>87.525739144723033</v>
      </c>
      <c r="U378" s="7">
        <v>0.42434075093121293</v>
      </c>
    </row>
    <row r="379" spans="19:21" x14ac:dyDescent="0.25">
      <c r="S379" s="11">
        <v>361</v>
      </c>
      <c r="T379" s="4">
        <v>89.801201816751345</v>
      </c>
      <c r="U379" s="7">
        <v>0.46137024925551406</v>
      </c>
    </row>
    <row r="380" spans="19:21" x14ac:dyDescent="0.25">
      <c r="S380" s="11">
        <v>362</v>
      </c>
      <c r="T380" s="4">
        <v>75.357308726518255</v>
      </c>
      <c r="U380" s="7">
        <v>0.22631910051290882</v>
      </c>
    </row>
    <row r="381" spans="19:21" x14ac:dyDescent="0.25">
      <c r="S381" s="11">
        <v>363</v>
      </c>
      <c r="T381" s="4">
        <v>78.243862089140151</v>
      </c>
      <c r="U381" s="7">
        <v>0.27329311780537258</v>
      </c>
    </row>
    <row r="382" spans="19:21" x14ac:dyDescent="0.25">
      <c r="S382" s="11">
        <v>364</v>
      </c>
      <c r="T382" s="4">
        <v>63.36133987965227</v>
      </c>
      <c r="U382" s="7">
        <v>3.1103985022819636E-2</v>
      </c>
    </row>
    <row r="383" spans="19:21" x14ac:dyDescent="0.25">
      <c r="S383" s="11">
        <v>365</v>
      </c>
      <c r="T383" s="4">
        <v>78.664044814827093</v>
      </c>
      <c r="U383" s="7">
        <v>0.280130916433313</v>
      </c>
    </row>
    <row r="384" spans="19:21" x14ac:dyDescent="0.25">
      <c r="S384" s="11">
        <v>366</v>
      </c>
      <c r="T384" s="4">
        <v>73.030853569887981</v>
      </c>
      <c r="U384" s="7">
        <v>0.18845978144650899</v>
      </c>
    </row>
    <row r="385" spans="19:21" x14ac:dyDescent="0.25">
      <c r="S385" s="11">
        <v>367</v>
      </c>
      <c r="T385" s="4">
        <v>77.846721911860371</v>
      </c>
      <c r="U385" s="7">
        <v>0.26683029962343974</v>
      </c>
    </row>
    <row r="386" spans="19:21" x14ac:dyDescent="0.25">
      <c r="S386" s="11">
        <v>368</v>
      </c>
      <c r="T386" s="4">
        <v>57.992494302965085</v>
      </c>
      <c r="U386" s="7">
        <v>-5.6265349016027977E-2</v>
      </c>
    </row>
    <row r="387" spans="19:21" x14ac:dyDescent="0.25">
      <c r="S387" s="11">
        <v>369</v>
      </c>
      <c r="T387" s="4">
        <v>75.437936624718105</v>
      </c>
      <c r="U387" s="7">
        <v>0.22763118998727583</v>
      </c>
    </row>
    <row r="388" spans="19:21" x14ac:dyDescent="0.25">
      <c r="S388" s="11">
        <v>370</v>
      </c>
      <c r="T388" s="4">
        <v>80.024374259388253</v>
      </c>
      <c r="U388" s="7">
        <v>0.3022680920974492</v>
      </c>
    </row>
    <row r="389" spans="19:21" x14ac:dyDescent="0.25">
      <c r="S389" s="11">
        <v>371</v>
      </c>
      <c r="T389" s="4">
        <v>77.483314372075824</v>
      </c>
      <c r="U389" s="7">
        <v>0.26091642590847552</v>
      </c>
    </row>
    <row r="390" spans="19:21" x14ac:dyDescent="0.25">
      <c r="S390" s="11">
        <v>372</v>
      </c>
      <c r="T390" s="4">
        <v>81.674028407737921</v>
      </c>
      <c r="U390" s="7">
        <v>0.32911356237165035</v>
      </c>
    </row>
    <row r="391" spans="19:21" x14ac:dyDescent="0.25">
      <c r="S391" s="11">
        <v>373</v>
      </c>
      <c r="T391" s="4">
        <v>77.840076288030048</v>
      </c>
      <c r="U391" s="7">
        <v>0.26672215277510247</v>
      </c>
    </row>
    <row r="392" spans="19:21" x14ac:dyDescent="0.25">
      <c r="S392" s="11">
        <v>374</v>
      </c>
      <c r="T392" s="4">
        <v>80.398521931196839</v>
      </c>
      <c r="U392" s="7">
        <v>0.30835674420173853</v>
      </c>
    </row>
    <row r="393" spans="19:21" x14ac:dyDescent="0.25">
      <c r="S393" s="11">
        <v>375</v>
      </c>
      <c r="T393" s="4">
        <v>68.672463433989719</v>
      </c>
      <c r="U393" s="7">
        <v>0.11753398590707431</v>
      </c>
    </row>
    <row r="394" spans="19:21" x14ac:dyDescent="0.25">
      <c r="S394" s="11">
        <v>376</v>
      </c>
      <c r="T394" s="4">
        <v>77.30669196683202</v>
      </c>
      <c r="U394" s="7">
        <v>0.25804218009490665</v>
      </c>
    </row>
    <row r="395" spans="19:21" x14ac:dyDescent="0.25">
      <c r="S395" s="11">
        <v>377</v>
      </c>
      <c r="T395" s="4">
        <v>57.047763687606505</v>
      </c>
      <c r="U395" s="7">
        <v>-7.1639321601196015E-2</v>
      </c>
    </row>
    <row r="396" spans="19:21" x14ac:dyDescent="0.25">
      <c r="S396" s="11">
        <v>378</v>
      </c>
      <c r="T396" s="4">
        <v>67.808551450555228</v>
      </c>
      <c r="U396" s="7">
        <v>0.10347520668112642</v>
      </c>
    </row>
    <row r="397" spans="19:21" x14ac:dyDescent="0.25">
      <c r="S397" s="11">
        <v>379</v>
      </c>
      <c r="T397" s="4">
        <v>71.412971476328551</v>
      </c>
      <c r="U397" s="7">
        <v>0.16213135030640435</v>
      </c>
    </row>
    <row r="398" spans="19:21" x14ac:dyDescent="0.25">
      <c r="S398" s="11">
        <v>380</v>
      </c>
      <c r="T398" s="4">
        <v>60.75076650318718</v>
      </c>
      <c r="U398" s="7">
        <v>-1.1378901494106142E-2</v>
      </c>
    </row>
    <row r="399" spans="19:21" x14ac:dyDescent="0.25">
      <c r="S399" s="11">
        <v>381</v>
      </c>
      <c r="T399" s="4">
        <v>99.423916720477109</v>
      </c>
      <c r="U399" s="7">
        <v>0.61796447063428972</v>
      </c>
    </row>
    <row r="400" spans="19:21" x14ac:dyDescent="0.25">
      <c r="S400" s="11">
        <v>382</v>
      </c>
      <c r="T400" s="4">
        <v>54.103761494202566</v>
      </c>
      <c r="U400" s="7">
        <v>-0.11954822629450668</v>
      </c>
    </row>
    <row r="401" spans="19:21" x14ac:dyDescent="0.25">
      <c r="S401" s="11">
        <v>383</v>
      </c>
      <c r="T401" s="4">
        <v>69.853798260730045</v>
      </c>
      <c r="U401" s="7">
        <v>0.13675831181009013</v>
      </c>
    </row>
    <row r="402" spans="19:21" x14ac:dyDescent="0.25">
      <c r="S402" s="11">
        <v>384</v>
      </c>
      <c r="T402" s="4">
        <v>75.950886961251712</v>
      </c>
      <c r="U402" s="7">
        <v>0.23597863240442152</v>
      </c>
    </row>
    <row r="403" spans="19:21" x14ac:dyDescent="0.25">
      <c r="S403" s="11">
        <v>385</v>
      </c>
      <c r="T403" s="4">
        <v>65.413405620683903</v>
      </c>
      <c r="U403" s="7">
        <v>6.4498057293472799E-2</v>
      </c>
    </row>
    <row r="404" spans="19:21" x14ac:dyDescent="0.25">
      <c r="S404" s="11">
        <v>386</v>
      </c>
      <c r="T404" s="4">
        <v>73.972380847713637</v>
      </c>
      <c r="U404" s="7">
        <v>0.20378162486108442</v>
      </c>
    </row>
    <row r="405" spans="19:21" x14ac:dyDescent="0.25">
      <c r="S405" s="11">
        <v>387</v>
      </c>
      <c r="T405" s="4">
        <v>65.294505916430765</v>
      </c>
      <c r="U405" s="7">
        <v>6.2563155678287519E-2</v>
      </c>
    </row>
    <row r="406" spans="19:21" x14ac:dyDescent="0.25">
      <c r="S406" s="11">
        <v>388</v>
      </c>
      <c r="T406" s="4">
        <v>73.06784491854792</v>
      </c>
      <c r="U406" s="7">
        <v>0.18906175620094245</v>
      </c>
    </row>
    <row r="407" spans="19:21" x14ac:dyDescent="0.25">
      <c r="S407" s="11">
        <v>389</v>
      </c>
      <c r="T407" s="4">
        <v>73.744390197168428</v>
      </c>
      <c r="U407" s="7">
        <v>0.20007144340387994</v>
      </c>
    </row>
    <row r="408" spans="19:21" x14ac:dyDescent="0.25">
      <c r="S408" s="11">
        <v>390</v>
      </c>
      <c r="T408" s="4">
        <v>63.311698077901475</v>
      </c>
      <c r="U408" s="7">
        <v>3.0296144473579645E-2</v>
      </c>
    </row>
    <row r="409" spans="19:21" x14ac:dyDescent="0.25">
      <c r="S409" s="11">
        <v>391</v>
      </c>
      <c r="T409" s="4">
        <v>79.971123723508796</v>
      </c>
      <c r="U409" s="7">
        <v>0.30140152519949215</v>
      </c>
    </row>
    <row r="410" spans="19:21" x14ac:dyDescent="0.25">
      <c r="S410" s="11">
        <v>392</v>
      </c>
      <c r="T410" s="4">
        <v>86.214149054441606</v>
      </c>
      <c r="U410" s="7">
        <v>0.40299672993395608</v>
      </c>
    </row>
    <row r="411" spans="19:21" x14ac:dyDescent="0.25">
      <c r="S411" s="11">
        <v>393</v>
      </c>
      <c r="T411" s="4">
        <v>82.640944362200059</v>
      </c>
      <c r="U411" s="7">
        <v>0.34484856569894307</v>
      </c>
    </row>
    <row r="412" spans="19:21" x14ac:dyDescent="0.25">
      <c r="S412" s="11">
        <v>394</v>
      </c>
      <c r="T412" s="4">
        <v>49.255851426110091</v>
      </c>
      <c r="U412" s="7">
        <v>-0.19844017207306608</v>
      </c>
    </row>
    <row r="413" spans="19:21" x14ac:dyDescent="0.25">
      <c r="S413" s="11">
        <v>395</v>
      </c>
      <c r="T413" s="4">
        <v>103.08389515451498</v>
      </c>
      <c r="U413" s="7">
        <v>0.67752473807184654</v>
      </c>
    </row>
    <row r="414" spans="19:21" x14ac:dyDescent="0.25">
      <c r="S414" s="11">
        <v>396</v>
      </c>
      <c r="T414" s="4">
        <v>85.545331030267548</v>
      </c>
      <c r="U414" s="7">
        <v>0.39211279137945554</v>
      </c>
    </row>
    <row r="415" spans="19:21" x14ac:dyDescent="0.25">
      <c r="S415" s="11">
        <v>397</v>
      </c>
      <c r="T415" s="4">
        <v>64.763420451851829</v>
      </c>
      <c r="U415" s="7">
        <v>5.3920593195310396E-2</v>
      </c>
    </row>
    <row r="416" spans="19:21" x14ac:dyDescent="0.25">
      <c r="S416" s="11">
        <v>398</v>
      </c>
      <c r="T416" s="4">
        <v>84.633221507532809</v>
      </c>
      <c r="U416" s="7">
        <v>0.37726967465472416</v>
      </c>
    </row>
    <row r="417" spans="19:21" x14ac:dyDescent="0.25">
      <c r="S417" s="11">
        <v>399</v>
      </c>
      <c r="T417" s="4">
        <v>78.876393041569585</v>
      </c>
      <c r="U417" s="7">
        <v>0.28358654258046512</v>
      </c>
    </row>
    <row r="418" spans="19:21" x14ac:dyDescent="0.25">
      <c r="S418" s="11">
        <v>400</v>
      </c>
      <c r="T418" s="4">
        <v>102.80365197731778</v>
      </c>
      <c r="U418" s="7">
        <v>0.67296423071306388</v>
      </c>
    </row>
    <row r="419" spans="19:21" x14ac:dyDescent="0.25">
      <c r="S419" s="11">
        <v>401</v>
      </c>
      <c r="T419" s="4">
        <v>80.281601837958306</v>
      </c>
      <c r="U419" s="7">
        <v>0.30645405757458577</v>
      </c>
    </row>
    <row r="420" spans="19:21" x14ac:dyDescent="0.25">
      <c r="S420" s="11">
        <v>402</v>
      </c>
      <c r="T420" s="4">
        <v>70.243587609450728</v>
      </c>
      <c r="U420" s="7">
        <v>0.14310150706998748</v>
      </c>
    </row>
    <row r="421" spans="19:21" x14ac:dyDescent="0.25">
      <c r="S421" s="11">
        <v>403</v>
      </c>
      <c r="T421" s="4">
        <v>66.938522888222153</v>
      </c>
      <c r="U421" s="7">
        <v>8.9316889962931745E-2</v>
      </c>
    </row>
    <row r="422" spans="19:21" x14ac:dyDescent="0.25">
      <c r="S422" s="11">
        <v>404</v>
      </c>
      <c r="T422" s="4">
        <v>79.871321853439667</v>
      </c>
      <c r="U422" s="7">
        <v>0.29977741014547865</v>
      </c>
    </row>
    <row r="423" spans="19:21" x14ac:dyDescent="0.25">
      <c r="S423" s="11">
        <v>405</v>
      </c>
      <c r="T423" s="4">
        <v>59.434753466794177</v>
      </c>
      <c r="U423" s="7">
        <v>-3.2794898831665198E-2</v>
      </c>
    </row>
    <row r="424" spans="19:21" x14ac:dyDescent="0.25">
      <c r="S424" s="11">
        <v>406</v>
      </c>
      <c r="T424" s="4">
        <v>92.379308296937467</v>
      </c>
      <c r="U424" s="7">
        <v>0.50332478920972279</v>
      </c>
    </row>
    <row r="425" spans="19:21" x14ac:dyDescent="0.25">
      <c r="S425" s="11">
        <v>407</v>
      </c>
      <c r="T425" s="4">
        <v>66.832537650170764</v>
      </c>
      <c r="U425" s="7">
        <v>8.7592150531664137E-2</v>
      </c>
    </row>
    <row r="426" spans="19:21" x14ac:dyDescent="0.25">
      <c r="S426" s="11">
        <v>408</v>
      </c>
      <c r="T426" s="4">
        <v>75.228052840518416</v>
      </c>
      <c r="U426" s="7">
        <v>0.22421566868215481</v>
      </c>
    </row>
    <row r="427" spans="19:21" x14ac:dyDescent="0.25">
      <c r="S427" s="11">
        <v>409</v>
      </c>
      <c r="T427" s="4">
        <v>91.507545109875906</v>
      </c>
      <c r="U427" s="7">
        <v>0.48913824426160946</v>
      </c>
    </row>
    <row r="428" spans="19:21" x14ac:dyDescent="0.25">
      <c r="S428" s="11">
        <v>410</v>
      </c>
      <c r="T428" s="4">
        <v>77.502476091447775</v>
      </c>
      <c r="U428" s="7">
        <v>0.26122825209841771</v>
      </c>
    </row>
    <row r="429" spans="19:21" x14ac:dyDescent="0.25">
      <c r="S429" s="11">
        <v>411</v>
      </c>
      <c r="T429" s="4">
        <v>87.62087665405528</v>
      </c>
      <c r="U429" s="7">
        <v>0.42588896100984996</v>
      </c>
    </row>
    <row r="430" spans="19:21" x14ac:dyDescent="0.25">
      <c r="S430" s="11">
        <v>412</v>
      </c>
      <c r="T430" s="4">
        <v>82.73493545580547</v>
      </c>
      <c r="U430" s="7">
        <v>0.3463781197039133</v>
      </c>
    </row>
    <row r="431" spans="19:21" x14ac:dyDescent="0.25">
      <c r="S431" s="11">
        <v>413</v>
      </c>
      <c r="T431" s="4">
        <v>85.897393040986728</v>
      </c>
      <c r="U431" s="7">
        <v>0.39784203484111846</v>
      </c>
    </row>
    <row r="432" spans="19:21" x14ac:dyDescent="0.25">
      <c r="S432" s="11">
        <v>414</v>
      </c>
      <c r="T432" s="4">
        <v>78.69095521775796</v>
      </c>
      <c r="U432" s="7">
        <v>0.28056883999606108</v>
      </c>
    </row>
    <row r="433" spans="19:21" x14ac:dyDescent="0.25">
      <c r="S433" s="11">
        <v>415</v>
      </c>
      <c r="T433" s="4">
        <v>81.695492008383312</v>
      </c>
      <c r="U433" s="7">
        <v>0.3294628479802002</v>
      </c>
    </row>
    <row r="434" spans="19:21" x14ac:dyDescent="0.25">
      <c r="S434" s="11">
        <v>416</v>
      </c>
      <c r="T434" s="4">
        <v>74.749732040728475</v>
      </c>
      <c r="U434" s="7">
        <v>0.2164317663259312</v>
      </c>
    </row>
    <row r="435" spans="19:21" x14ac:dyDescent="0.25">
      <c r="S435" s="11">
        <v>417</v>
      </c>
      <c r="T435" s="4">
        <v>84.617614413916968</v>
      </c>
      <c r="U435" s="7">
        <v>0.3770156942866878</v>
      </c>
    </row>
    <row r="436" spans="19:21" x14ac:dyDescent="0.25">
      <c r="S436" s="11">
        <v>418</v>
      </c>
      <c r="T436" s="4">
        <v>73.998503104866828</v>
      </c>
      <c r="U436" s="7">
        <v>0.204206722617849</v>
      </c>
    </row>
    <row r="437" spans="19:21" x14ac:dyDescent="0.25">
      <c r="S437" s="11">
        <v>419</v>
      </c>
      <c r="T437" s="4">
        <v>72.856970965475767</v>
      </c>
      <c r="U437" s="7">
        <v>0.18563012148862112</v>
      </c>
    </row>
    <row r="438" spans="19:21" x14ac:dyDescent="0.25">
      <c r="S438" s="11">
        <v>420</v>
      </c>
      <c r="T438" s="4">
        <v>79.519568724185518</v>
      </c>
      <c r="U438" s="7">
        <v>0.29405319323328749</v>
      </c>
    </row>
    <row r="439" spans="19:21" x14ac:dyDescent="0.25">
      <c r="S439" s="11">
        <v>421</v>
      </c>
      <c r="T439" s="4">
        <v>74.466815504545636</v>
      </c>
      <c r="U439" s="7">
        <v>0.21182775434573853</v>
      </c>
    </row>
    <row r="440" spans="19:21" x14ac:dyDescent="0.25">
      <c r="S440" s="11">
        <v>422</v>
      </c>
      <c r="T440" s="4">
        <v>78.951992913990168</v>
      </c>
      <c r="U440" s="7">
        <v>0.2848168090152996</v>
      </c>
    </row>
    <row r="441" spans="19:21" x14ac:dyDescent="0.25">
      <c r="S441" s="11">
        <v>423</v>
      </c>
      <c r="T441" s="4">
        <v>57.731833098154972</v>
      </c>
      <c r="U441" s="7">
        <v>-6.0507191242392677E-2</v>
      </c>
    </row>
    <row r="442" spans="19:21" x14ac:dyDescent="0.25">
      <c r="S442" s="11">
        <v>424</v>
      </c>
      <c r="T442" s="4">
        <v>78.057870290955037</v>
      </c>
      <c r="U442" s="7">
        <v>0.27026640017827552</v>
      </c>
    </row>
    <row r="443" spans="19:21" x14ac:dyDescent="0.25">
      <c r="S443" s="11">
        <v>425</v>
      </c>
      <c r="T443" s="4">
        <v>75.42620855508018</v>
      </c>
      <c r="U443" s="7">
        <v>0.22744033450089796</v>
      </c>
    </row>
    <row r="444" spans="19:21" x14ac:dyDescent="0.25">
      <c r="S444" s="11">
        <v>426</v>
      </c>
      <c r="T444" s="4">
        <v>98.98900343937396</v>
      </c>
      <c r="U444" s="7">
        <v>0.61088695588891717</v>
      </c>
    </row>
    <row r="445" spans="19:21" x14ac:dyDescent="0.25">
      <c r="S445" s="11">
        <v>427</v>
      </c>
      <c r="T445" s="4">
        <v>90.508458355832602</v>
      </c>
      <c r="U445" s="7">
        <v>0.47287971286952968</v>
      </c>
    </row>
    <row r="446" spans="19:21" x14ac:dyDescent="0.25">
      <c r="S446" s="11">
        <v>428</v>
      </c>
      <c r="T446" s="4">
        <v>62.048755299511043</v>
      </c>
      <c r="U446" s="7">
        <v>9.7437803012374591E-3</v>
      </c>
    </row>
    <row r="447" spans="19:21" x14ac:dyDescent="0.25">
      <c r="S447" s="11">
        <v>429</v>
      </c>
      <c r="T447" s="4">
        <v>91.353469751256966</v>
      </c>
      <c r="U447" s="7">
        <v>0.48663091539881154</v>
      </c>
    </row>
    <row r="448" spans="19:21" x14ac:dyDescent="0.25">
      <c r="S448" s="11">
        <v>430</v>
      </c>
      <c r="T448" s="4">
        <v>75.520274958017566</v>
      </c>
      <c r="U448" s="7">
        <v>0.22897111404422388</v>
      </c>
    </row>
    <row r="449" spans="19:21" x14ac:dyDescent="0.25">
      <c r="S449" s="11">
        <v>431</v>
      </c>
      <c r="T449" s="4">
        <v>96.958505551031635</v>
      </c>
      <c r="U449" s="7">
        <v>0.57784386576129587</v>
      </c>
    </row>
    <row r="450" spans="19:21" x14ac:dyDescent="0.25">
      <c r="S450" s="11">
        <v>432</v>
      </c>
      <c r="T450" s="4">
        <v>92.498340402894229</v>
      </c>
      <c r="U450" s="7">
        <v>0.50526184544986541</v>
      </c>
    </row>
    <row r="451" spans="19:21" x14ac:dyDescent="0.25">
      <c r="S451" s="11">
        <v>433</v>
      </c>
      <c r="T451" s="4">
        <v>72.472218021109384</v>
      </c>
      <c r="U451" s="7">
        <v>0.17936888561610065</v>
      </c>
    </row>
    <row r="452" spans="19:21" x14ac:dyDescent="0.25">
      <c r="S452" s="11">
        <v>434</v>
      </c>
      <c r="T452" s="4">
        <v>69.069900855525802</v>
      </c>
      <c r="U452" s="7">
        <v>0.12400164126160784</v>
      </c>
    </row>
    <row r="453" spans="19:21" x14ac:dyDescent="0.25">
      <c r="S453" s="11">
        <v>435</v>
      </c>
      <c r="T453" s="4">
        <v>79.594428390148494</v>
      </c>
      <c r="U453" s="7">
        <v>0.29527141399753432</v>
      </c>
    </row>
    <row r="454" spans="19:21" x14ac:dyDescent="0.25">
      <c r="S454" s="11">
        <v>436</v>
      </c>
      <c r="T454" s="4">
        <v>78.750796569413993</v>
      </c>
      <c r="U454" s="7">
        <v>0.28154266182935705</v>
      </c>
    </row>
    <row r="455" spans="19:21" x14ac:dyDescent="0.25">
      <c r="S455" s="11">
        <v>437</v>
      </c>
      <c r="T455" s="4">
        <v>71.941386139496387</v>
      </c>
      <c r="U455" s="7">
        <v>0.17073044978838703</v>
      </c>
    </row>
    <row r="456" spans="19:21" x14ac:dyDescent="0.25">
      <c r="S456" s="11">
        <v>438</v>
      </c>
      <c r="T456" s="4">
        <v>70.872010638097279</v>
      </c>
      <c r="U456" s="7">
        <v>0.15332808198693693</v>
      </c>
    </row>
    <row r="457" spans="19:21" x14ac:dyDescent="0.25">
      <c r="S457" s="11">
        <v>439</v>
      </c>
      <c r="T457" s="4">
        <v>90.214925519275411</v>
      </c>
      <c r="U457" s="7">
        <v>0.46810293766111322</v>
      </c>
    </row>
    <row r="458" spans="19:21" x14ac:dyDescent="0.25">
      <c r="S458" s="11">
        <v>440</v>
      </c>
      <c r="T458" s="4">
        <v>67.112217736061467</v>
      </c>
      <c r="U458" s="7">
        <v>9.2143494484320021E-2</v>
      </c>
    </row>
    <row r="459" spans="19:21" x14ac:dyDescent="0.25">
      <c r="S459" s="11">
        <v>441</v>
      </c>
      <c r="T459" s="4">
        <v>68.936227454536876</v>
      </c>
      <c r="U459" s="7">
        <v>0.12182632147334216</v>
      </c>
    </row>
    <row r="460" spans="19:21" x14ac:dyDescent="0.25">
      <c r="S460" s="11">
        <v>442</v>
      </c>
      <c r="T460" s="4">
        <v>74.131866288460955</v>
      </c>
      <c r="U460" s="7">
        <v>0.20637699411653299</v>
      </c>
    </row>
    <row r="461" spans="19:21" x14ac:dyDescent="0.25">
      <c r="S461" s="11">
        <v>443</v>
      </c>
      <c r="T461" s="4">
        <v>100.92212664554216</v>
      </c>
      <c r="U461" s="7">
        <v>0.64234542954503104</v>
      </c>
    </row>
    <row r="462" spans="19:21" x14ac:dyDescent="0.25">
      <c r="S462" s="11">
        <v>444</v>
      </c>
      <c r="T462" s="4">
        <v>75.007921346450331</v>
      </c>
      <c r="U462" s="7">
        <v>0.22063338236697039</v>
      </c>
    </row>
    <row r="463" spans="19:21" x14ac:dyDescent="0.25">
      <c r="S463" s="11">
        <v>445</v>
      </c>
      <c r="T463" s="4">
        <v>76.48238676641617</v>
      </c>
      <c r="U463" s="7">
        <v>0.24462793761458368</v>
      </c>
    </row>
    <row r="464" spans="19:21" x14ac:dyDescent="0.25">
      <c r="S464" s="11">
        <v>446</v>
      </c>
      <c r="T464" s="4">
        <v>103.12956202529159</v>
      </c>
      <c r="U464" s="7">
        <v>0.67826789300718615</v>
      </c>
    </row>
    <row r="465" spans="19:21" x14ac:dyDescent="0.25">
      <c r="S465" s="11">
        <v>447</v>
      </c>
      <c r="T465" s="4">
        <v>95.211352909692309</v>
      </c>
      <c r="U465" s="7">
        <v>0.54941176419352811</v>
      </c>
    </row>
    <row r="466" spans="19:21" x14ac:dyDescent="0.25">
      <c r="S466" s="11">
        <v>448</v>
      </c>
      <c r="T466" s="4">
        <v>71.593212732461836</v>
      </c>
      <c r="U466" s="7">
        <v>0.16506448710271493</v>
      </c>
    </row>
    <row r="467" spans="19:21" x14ac:dyDescent="0.25">
      <c r="S467" s="11">
        <v>449</v>
      </c>
      <c r="T467" s="4">
        <v>82.977791362162492</v>
      </c>
      <c r="U467" s="7">
        <v>0.35033020931102499</v>
      </c>
    </row>
    <row r="468" spans="19:21" x14ac:dyDescent="0.25">
      <c r="S468" s="11">
        <v>450</v>
      </c>
      <c r="T468" s="4">
        <v>81.255257410804816</v>
      </c>
      <c r="U468" s="7">
        <v>0.32229873736053394</v>
      </c>
    </row>
    <row r="469" spans="19:21" x14ac:dyDescent="0.25">
      <c r="S469" s="11">
        <v>451</v>
      </c>
      <c r="T469" s="4">
        <v>76.678832729477392</v>
      </c>
      <c r="U469" s="7">
        <v>0.24782477997522201</v>
      </c>
    </row>
    <row r="470" spans="19:21" x14ac:dyDescent="0.25">
      <c r="S470" s="11">
        <v>452</v>
      </c>
      <c r="T470" s="4">
        <v>79.909676218642744</v>
      </c>
      <c r="U470" s="7">
        <v>0.30040156580378752</v>
      </c>
    </row>
    <row r="471" spans="19:21" x14ac:dyDescent="0.25">
      <c r="S471" s="11">
        <v>453</v>
      </c>
      <c r="T471" s="4">
        <v>87.065157257854125</v>
      </c>
      <c r="U471" s="7">
        <v>0.41684552087638926</v>
      </c>
    </row>
    <row r="472" spans="19:21" x14ac:dyDescent="0.25">
      <c r="S472" s="11">
        <v>454</v>
      </c>
      <c r="T472" s="4">
        <v>84.492364998969606</v>
      </c>
      <c r="U472" s="7">
        <v>0.37497746133392362</v>
      </c>
    </row>
    <row r="473" spans="19:21" x14ac:dyDescent="0.25">
      <c r="S473" s="11">
        <v>455</v>
      </c>
      <c r="T473" s="4">
        <v>64.339530493387173</v>
      </c>
      <c r="U473" s="7">
        <v>4.702246531142662E-2</v>
      </c>
    </row>
    <row r="474" spans="19:21" x14ac:dyDescent="0.25">
      <c r="S474" s="11">
        <v>456</v>
      </c>
      <c r="T474" s="4">
        <v>62.991008355892099</v>
      </c>
      <c r="U474" s="7">
        <v>2.5077434595477621E-2</v>
      </c>
    </row>
    <row r="475" spans="19:21" x14ac:dyDescent="0.25">
      <c r="S475" s="11">
        <v>457</v>
      </c>
      <c r="T475" s="4">
        <v>79.116094291168864</v>
      </c>
      <c r="U475" s="7">
        <v>0.28748729521837046</v>
      </c>
    </row>
    <row r="476" spans="19:21" x14ac:dyDescent="0.25">
      <c r="S476" s="11">
        <v>458</v>
      </c>
      <c r="T476" s="4">
        <v>66.071506866388603</v>
      </c>
      <c r="U476" s="7">
        <v>7.5207597500221324E-2</v>
      </c>
    </row>
    <row r="477" spans="19:21" x14ac:dyDescent="0.25">
      <c r="S477" s="11">
        <v>459</v>
      </c>
      <c r="T477" s="4">
        <v>75.256243061522284</v>
      </c>
      <c r="U477" s="7">
        <v>0.22467441922737641</v>
      </c>
    </row>
    <row r="478" spans="19:21" x14ac:dyDescent="0.25">
      <c r="S478" s="11">
        <v>460</v>
      </c>
      <c r="T478" s="4">
        <v>79.999225161258991</v>
      </c>
      <c r="U478" s="7">
        <v>0.3018588309399346</v>
      </c>
    </row>
    <row r="479" spans="19:21" x14ac:dyDescent="0.25">
      <c r="S479" s="11">
        <v>461</v>
      </c>
      <c r="T479" s="4">
        <v>72.87514627788174</v>
      </c>
      <c r="U479" s="7">
        <v>0.18592589549034555</v>
      </c>
    </row>
    <row r="480" spans="19:21" x14ac:dyDescent="0.25">
      <c r="S480" s="11">
        <v>462</v>
      </c>
      <c r="T480" s="4">
        <v>78.941962739971217</v>
      </c>
      <c r="U480" s="7">
        <v>0.28465358405160646</v>
      </c>
    </row>
    <row r="481" spans="19:21" x14ac:dyDescent="0.25">
      <c r="S481" s="11">
        <v>463</v>
      </c>
      <c r="T481" s="4">
        <v>89.994287884678428</v>
      </c>
      <c r="U481" s="7">
        <v>0.46451241472218752</v>
      </c>
    </row>
    <row r="482" spans="19:21" x14ac:dyDescent="0.25">
      <c r="S482" s="11">
        <v>464</v>
      </c>
      <c r="T482" s="4">
        <v>72.411591187971126</v>
      </c>
      <c r="U482" s="7">
        <v>0.1783822813339484</v>
      </c>
    </row>
    <row r="483" spans="19:21" x14ac:dyDescent="0.25">
      <c r="S483" s="11">
        <v>465</v>
      </c>
      <c r="T483" s="4">
        <v>86.913345404598033</v>
      </c>
      <c r="U483" s="7">
        <v>0.41437502692592409</v>
      </c>
    </row>
    <row r="484" spans="19:21" x14ac:dyDescent="0.25">
      <c r="S484" s="11">
        <v>466</v>
      </c>
      <c r="T484" s="4">
        <v>83.85684201862432</v>
      </c>
      <c r="U484" s="7">
        <v>0.36463534611268211</v>
      </c>
    </row>
    <row r="485" spans="19:21" x14ac:dyDescent="0.25">
      <c r="S485" s="11">
        <v>467</v>
      </c>
      <c r="T485" s="4">
        <v>81.954758616103973</v>
      </c>
      <c r="U485" s="7">
        <v>0.33368199538004828</v>
      </c>
    </row>
    <row r="486" spans="19:21" x14ac:dyDescent="0.25">
      <c r="S486" s="11">
        <v>468</v>
      </c>
      <c r="T486" s="4">
        <v>72.132484374895384</v>
      </c>
      <c r="U486" s="7">
        <v>0.17384026647510797</v>
      </c>
    </row>
    <row r="487" spans="19:21" x14ac:dyDescent="0.25">
      <c r="S487" s="11">
        <v>469</v>
      </c>
      <c r="T487" s="4">
        <v>67.024274216680283</v>
      </c>
      <c r="U487" s="7">
        <v>9.0712355031412173E-2</v>
      </c>
    </row>
    <row r="488" spans="19:21" x14ac:dyDescent="0.25">
      <c r="S488" s="11">
        <v>470</v>
      </c>
      <c r="T488" s="4">
        <v>76.790776893758178</v>
      </c>
      <c r="U488" s="7">
        <v>0.24964649135489303</v>
      </c>
    </row>
    <row r="489" spans="19:21" x14ac:dyDescent="0.25">
      <c r="S489" s="11">
        <v>471</v>
      </c>
      <c r="T489" s="4">
        <v>72.440908943866191</v>
      </c>
      <c r="U489" s="7">
        <v>0.17885938069757823</v>
      </c>
    </row>
    <row r="490" spans="19:21" x14ac:dyDescent="0.25">
      <c r="S490" s="11">
        <v>472</v>
      </c>
      <c r="T490" s="4">
        <v>72.18644877843083</v>
      </c>
      <c r="U490" s="7">
        <v>0.17471845042198253</v>
      </c>
    </row>
    <row r="491" spans="19:21" x14ac:dyDescent="0.25">
      <c r="S491" s="11">
        <v>473</v>
      </c>
      <c r="T491" s="4">
        <v>55.954651463914374</v>
      </c>
      <c r="U491" s="7">
        <v>-8.9427966413110349E-2</v>
      </c>
    </row>
    <row r="492" spans="19:21" x14ac:dyDescent="0.25">
      <c r="S492" s="11">
        <v>474</v>
      </c>
      <c r="T492" s="4">
        <v>71.453956123112036</v>
      </c>
      <c r="U492" s="7">
        <v>0.16279830957057828</v>
      </c>
    </row>
    <row r="493" spans="19:21" x14ac:dyDescent="0.25">
      <c r="S493" s="11">
        <v>475</v>
      </c>
      <c r="T493" s="4">
        <v>88.754715231746047</v>
      </c>
      <c r="U493" s="7">
        <v>0.4443403617859405</v>
      </c>
    </row>
    <row r="494" spans="19:21" x14ac:dyDescent="0.25">
      <c r="S494" s="11">
        <v>476</v>
      </c>
      <c r="T494" s="4">
        <v>54.920540275667726</v>
      </c>
      <c r="U494" s="7">
        <v>-0.10625646418766932</v>
      </c>
    </row>
    <row r="495" spans="19:21" x14ac:dyDescent="0.25">
      <c r="S495" s="11">
        <v>477</v>
      </c>
      <c r="T495" s="4">
        <v>88.21337193657088</v>
      </c>
      <c r="U495" s="7">
        <v>0.43553086959431853</v>
      </c>
    </row>
    <row r="496" spans="19:21" x14ac:dyDescent="0.25">
      <c r="S496" s="11">
        <v>478</v>
      </c>
      <c r="T496" s="4">
        <v>71.169984894302672</v>
      </c>
      <c r="U496" s="7">
        <v>0.15817713416277734</v>
      </c>
    </row>
    <row r="497" spans="19:21" x14ac:dyDescent="0.25">
      <c r="S497" s="11">
        <v>479</v>
      </c>
      <c r="T497" s="4">
        <v>76.642451649906334</v>
      </c>
      <c r="U497" s="7">
        <v>0.24723273636950904</v>
      </c>
    </row>
    <row r="498" spans="19:21" x14ac:dyDescent="0.25">
      <c r="S498" s="11">
        <v>480</v>
      </c>
      <c r="T498" s="4">
        <v>85.630516562535718</v>
      </c>
      <c r="U498" s="7">
        <v>0.39349904902417765</v>
      </c>
    </row>
    <row r="499" spans="19:21" x14ac:dyDescent="0.25">
      <c r="S499" s="11">
        <v>481</v>
      </c>
      <c r="T499" s="4">
        <v>69.991082972956264</v>
      </c>
      <c r="U499" s="7">
        <v>0.13899239988537437</v>
      </c>
    </row>
    <row r="500" spans="19:21" x14ac:dyDescent="0.25">
      <c r="S500" s="11">
        <v>482</v>
      </c>
      <c r="T500" s="4">
        <v>88.140786665097593</v>
      </c>
      <c r="U500" s="7">
        <v>0.43434966094544492</v>
      </c>
    </row>
    <row r="501" spans="19:21" x14ac:dyDescent="0.25">
      <c r="S501" s="11">
        <v>483</v>
      </c>
      <c r="T501" s="4">
        <v>66.17485662039654</v>
      </c>
      <c r="U501" s="7">
        <v>7.6889448663898019E-2</v>
      </c>
    </row>
    <row r="502" spans="19:21" x14ac:dyDescent="0.25">
      <c r="S502" s="11">
        <v>484</v>
      </c>
      <c r="T502" s="4">
        <v>77.896338132610452</v>
      </c>
      <c r="U502" s="7">
        <v>0.26763772388300167</v>
      </c>
    </row>
    <row r="503" spans="19:21" x14ac:dyDescent="0.25">
      <c r="S503" s="11">
        <v>485</v>
      </c>
      <c r="T503" s="4">
        <v>61.719285730326746</v>
      </c>
      <c r="U503" s="7">
        <v>4.3821925195564049E-3</v>
      </c>
    </row>
    <row r="504" spans="19:21" x14ac:dyDescent="0.25">
      <c r="S504" s="11">
        <v>486</v>
      </c>
      <c r="T504" s="4">
        <v>89.187075807792979</v>
      </c>
      <c r="U504" s="7">
        <v>0.45137633535871391</v>
      </c>
    </row>
    <row r="505" spans="19:21" x14ac:dyDescent="0.25">
      <c r="S505" s="11">
        <v>487</v>
      </c>
      <c r="T505" s="4">
        <v>93.345546589137953</v>
      </c>
      <c r="U505" s="7">
        <v>0.51904876467270866</v>
      </c>
    </row>
    <row r="506" spans="19:21" x14ac:dyDescent="0.25">
      <c r="S506" s="11">
        <v>488</v>
      </c>
      <c r="T506" s="4">
        <v>58.694577424431913</v>
      </c>
      <c r="U506" s="7">
        <v>-4.4840074460017698E-2</v>
      </c>
    </row>
    <row r="507" spans="19:21" x14ac:dyDescent="0.25">
      <c r="S507" s="11">
        <v>489</v>
      </c>
      <c r="T507" s="4">
        <v>73.217310792641413</v>
      </c>
      <c r="U507" s="7">
        <v>0.19149407311051925</v>
      </c>
    </row>
    <row r="508" spans="19:21" x14ac:dyDescent="0.25">
      <c r="S508" s="11">
        <v>490</v>
      </c>
      <c r="T508" s="4">
        <v>79.557512767172085</v>
      </c>
      <c r="U508" s="7">
        <v>0.2946706715569094</v>
      </c>
    </row>
    <row r="509" spans="19:21" x14ac:dyDescent="0.25">
      <c r="S509" s="11">
        <v>491</v>
      </c>
      <c r="T509" s="4">
        <v>87.885167396153733</v>
      </c>
      <c r="U509" s="7">
        <v>0.43018986812292481</v>
      </c>
    </row>
    <row r="510" spans="19:21" x14ac:dyDescent="0.25">
      <c r="S510" s="11">
        <v>492</v>
      </c>
      <c r="T510" s="4">
        <v>71.090050875271899</v>
      </c>
      <c r="U510" s="7">
        <v>0.15687633645682508</v>
      </c>
    </row>
    <row r="511" spans="19:21" x14ac:dyDescent="0.25">
      <c r="S511" s="11">
        <v>493</v>
      </c>
      <c r="T511" s="4">
        <v>98.67410997450672</v>
      </c>
      <c r="U511" s="7">
        <v>0.60576257078123219</v>
      </c>
    </row>
    <row r="512" spans="19:21" x14ac:dyDescent="0.25">
      <c r="S512" s="11">
        <v>494</v>
      </c>
      <c r="T512" s="4">
        <v>85.31704728873197</v>
      </c>
      <c r="U512" s="7">
        <v>0.38839784033737934</v>
      </c>
    </row>
    <row r="513" spans="19:21" x14ac:dyDescent="0.25">
      <c r="S513" s="11">
        <v>495</v>
      </c>
      <c r="T513" s="4">
        <v>85.936086140520942</v>
      </c>
      <c r="U513" s="7">
        <v>0.39847170285632116</v>
      </c>
    </row>
    <row r="514" spans="19:21" x14ac:dyDescent="0.25">
      <c r="S514" s="11">
        <v>496</v>
      </c>
      <c r="T514" s="4">
        <v>69.449635728337242</v>
      </c>
      <c r="U514" s="7">
        <v>0.13018121608360023</v>
      </c>
    </row>
    <row r="515" spans="19:21" x14ac:dyDescent="0.25">
      <c r="S515" s="11">
        <v>497</v>
      </c>
      <c r="T515" s="4">
        <v>91.476980446490771</v>
      </c>
      <c r="U515" s="7">
        <v>0.48864085348235586</v>
      </c>
    </row>
    <row r="516" spans="19:21" x14ac:dyDescent="0.25">
      <c r="S516" s="11">
        <v>498</v>
      </c>
      <c r="T516" s="4">
        <v>60.786667983436175</v>
      </c>
      <c r="U516" s="7">
        <v>-1.0794662596644855E-2</v>
      </c>
    </row>
    <row r="517" spans="19:21" x14ac:dyDescent="0.25">
      <c r="S517" s="11">
        <v>499</v>
      </c>
      <c r="T517" s="4">
        <v>61.224768408241061</v>
      </c>
      <c r="U517" s="7">
        <v>-3.6652822092586579E-3</v>
      </c>
    </row>
    <row r="518" spans="19:21" x14ac:dyDescent="0.25">
      <c r="S518" s="11">
        <v>500</v>
      </c>
      <c r="T518" s="4">
        <v>88.767968205570341</v>
      </c>
      <c r="U518" s="7">
        <v>0.44455603263743426</v>
      </c>
    </row>
    <row r="519" spans="19:21" x14ac:dyDescent="0.25">
      <c r="S519" s="11">
        <v>501</v>
      </c>
      <c r="T519" s="4">
        <v>65.232200598384523</v>
      </c>
      <c r="U519" s="7">
        <v>6.1549236751578862E-2</v>
      </c>
    </row>
    <row r="520" spans="19:21" x14ac:dyDescent="0.25">
      <c r="S520" s="11">
        <v>502</v>
      </c>
      <c r="T520" s="4">
        <v>92.109867800326384</v>
      </c>
      <c r="U520" s="7">
        <v>0.49894007811759766</v>
      </c>
    </row>
    <row r="521" spans="19:21" x14ac:dyDescent="0.25">
      <c r="S521" s="11">
        <v>503</v>
      </c>
      <c r="T521" s="4">
        <v>60.971664423000668</v>
      </c>
      <c r="U521" s="7">
        <v>-7.7841428315595929E-3</v>
      </c>
    </row>
    <row r="522" spans="19:21" x14ac:dyDescent="0.25">
      <c r="S522" s="11">
        <v>504</v>
      </c>
      <c r="T522" s="4">
        <v>56.894036717868602</v>
      </c>
      <c r="U522" s="7">
        <v>-7.4140980994815364E-2</v>
      </c>
    </row>
    <row r="523" spans="19:21" x14ac:dyDescent="0.25">
      <c r="S523" s="11">
        <v>505</v>
      </c>
      <c r="T523" s="4">
        <v>97.452528507695149</v>
      </c>
      <c r="U523" s="7">
        <v>0.585883295487309</v>
      </c>
    </row>
    <row r="524" spans="19:21" x14ac:dyDescent="0.25">
      <c r="S524" s="11">
        <v>506</v>
      </c>
      <c r="T524" s="4">
        <v>77.679734337824897</v>
      </c>
      <c r="U524" s="7">
        <v>0.26411284520463618</v>
      </c>
    </row>
    <row r="525" spans="19:21" x14ac:dyDescent="0.25">
      <c r="S525" s="11">
        <v>507</v>
      </c>
      <c r="T525" s="4">
        <v>80.490421401150414</v>
      </c>
      <c r="U525" s="7">
        <v>0.30985226039300917</v>
      </c>
    </row>
    <row r="526" spans="19:21" x14ac:dyDescent="0.25">
      <c r="S526" s="11">
        <v>508</v>
      </c>
      <c r="T526" s="4">
        <v>72.097366095678723</v>
      </c>
      <c r="U526" s="7">
        <v>0.17326877291584575</v>
      </c>
    </row>
    <row r="527" spans="19:21" x14ac:dyDescent="0.25">
      <c r="S527" s="11">
        <v>509</v>
      </c>
      <c r="T527" s="4">
        <v>83.89613046644935</v>
      </c>
      <c r="U527" s="7">
        <v>0.36527470246459481</v>
      </c>
    </row>
    <row r="528" spans="19:21" x14ac:dyDescent="0.25">
      <c r="S528" s="11">
        <v>510</v>
      </c>
      <c r="T528" s="4">
        <v>83.905141992747119</v>
      </c>
      <c r="U528" s="7">
        <v>0.36542135057359015</v>
      </c>
    </row>
    <row r="529" spans="19:21" x14ac:dyDescent="0.25">
      <c r="S529" s="11">
        <v>511</v>
      </c>
      <c r="T529" s="4">
        <v>72.5881301610018</v>
      </c>
      <c r="U529" s="7">
        <v>0.18125516942232389</v>
      </c>
    </row>
    <row r="530" spans="19:21" x14ac:dyDescent="0.25">
      <c r="S530" s="11">
        <v>512</v>
      </c>
      <c r="T530" s="4">
        <v>78.239681583340911</v>
      </c>
      <c r="U530" s="7">
        <v>0.27322508679155266</v>
      </c>
    </row>
    <row r="531" spans="19:21" x14ac:dyDescent="0.25">
      <c r="S531" s="11">
        <v>513</v>
      </c>
      <c r="T531" s="4">
        <v>71.134396053157886</v>
      </c>
      <c r="U531" s="7">
        <v>0.15759798296432681</v>
      </c>
    </row>
    <row r="532" spans="19:21" x14ac:dyDescent="0.25">
      <c r="S532" s="11">
        <v>514</v>
      </c>
      <c r="T532" s="4">
        <v>112.6103233904406</v>
      </c>
      <c r="U532" s="7">
        <v>0.83255204866461496</v>
      </c>
    </row>
    <row r="533" spans="19:21" x14ac:dyDescent="0.25">
      <c r="S533" s="11">
        <v>515</v>
      </c>
      <c r="T533" s="4">
        <v>74.517349966156388</v>
      </c>
      <c r="U533" s="7">
        <v>0.21265012149969698</v>
      </c>
    </row>
    <row r="534" spans="19:21" x14ac:dyDescent="0.25">
      <c r="S534" s="11">
        <v>516</v>
      </c>
      <c r="T534" s="4">
        <v>70.897810417541862</v>
      </c>
      <c r="U534" s="7">
        <v>0.15374793193721503</v>
      </c>
    </row>
    <row r="535" spans="19:21" x14ac:dyDescent="0.25">
      <c r="S535" s="11">
        <v>517</v>
      </c>
      <c r="T535" s="4">
        <v>73.828501458386626</v>
      </c>
      <c r="U535" s="7">
        <v>0.20144021901361464</v>
      </c>
    </row>
    <row r="536" spans="19:21" x14ac:dyDescent="0.25">
      <c r="S536" s="11">
        <v>518</v>
      </c>
      <c r="T536" s="4">
        <v>68.065223725552428</v>
      </c>
      <c r="U536" s="7">
        <v>0.10765213548498664</v>
      </c>
    </row>
    <row r="537" spans="19:21" x14ac:dyDescent="0.25">
      <c r="S537" s="11">
        <v>519</v>
      </c>
      <c r="T537" s="4">
        <v>79.97340111768564</v>
      </c>
      <c r="U537" s="7">
        <v>0.30143858612995333</v>
      </c>
    </row>
    <row r="538" spans="19:21" x14ac:dyDescent="0.25">
      <c r="S538" s="11">
        <v>520</v>
      </c>
      <c r="T538" s="4">
        <v>82.997631903024356</v>
      </c>
      <c r="U538" s="7">
        <v>0.35065308222985103</v>
      </c>
    </row>
    <row r="539" spans="19:21" x14ac:dyDescent="0.25">
      <c r="S539" s="11">
        <v>521</v>
      </c>
      <c r="T539" s="4">
        <v>78.587851134950526</v>
      </c>
      <c r="U539" s="7">
        <v>0.27889098673637958</v>
      </c>
    </row>
    <row r="540" spans="19:21" x14ac:dyDescent="0.25">
      <c r="S540" s="11">
        <v>522</v>
      </c>
      <c r="T540" s="4">
        <v>67.304490041800449</v>
      </c>
      <c r="U540" s="7">
        <v>9.5272417279095967E-2</v>
      </c>
    </row>
    <row r="541" spans="19:21" x14ac:dyDescent="0.25">
      <c r="S541" s="11">
        <v>523</v>
      </c>
      <c r="T541" s="4">
        <v>73.200021770255745</v>
      </c>
      <c r="U541" s="7">
        <v>0.19121272205460937</v>
      </c>
    </row>
    <row r="542" spans="19:21" x14ac:dyDescent="0.25">
      <c r="S542" s="11">
        <v>524</v>
      </c>
      <c r="T542" s="4">
        <v>87.211570404643467</v>
      </c>
      <c r="U542" s="7">
        <v>0.4192281595548164</v>
      </c>
    </row>
    <row r="543" spans="19:21" x14ac:dyDescent="0.25">
      <c r="S543" s="11">
        <v>525</v>
      </c>
      <c r="T543" s="4">
        <v>63.958370314967105</v>
      </c>
      <c r="U543" s="7">
        <v>4.0819695931116451E-2</v>
      </c>
    </row>
    <row r="544" spans="19:21" x14ac:dyDescent="0.25">
      <c r="S544" s="11">
        <v>526</v>
      </c>
      <c r="T544" s="4">
        <v>75.931549188555351</v>
      </c>
      <c r="U544" s="7">
        <v>0.23566394122954182</v>
      </c>
    </row>
    <row r="545" spans="19:21" x14ac:dyDescent="0.25">
      <c r="S545" s="11">
        <v>527</v>
      </c>
      <c r="T545" s="4">
        <v>62.506294307590167</v>
      </c>
      <c r="U545" s="7">
        <v>1.718949239365597E-2</v>
      </c>
    </row>
    <row r="546" spans="19:21" x14ac:dyDescent="0.25">
      <c r="S546" s="11">
        <v>528</v>
      </c>
      <c r="T546" s="4">
        <v>59.852423371944973</v>
      </c>
      <c r="U546" s="7">
        <v>-2.5997992319854002E-2</v>
      </c>
    </row>
    <row r="547" spans="19:21" x14ac:dyDescent="0.25">
      <c r="S547" s="11">
        <v>529</v>
      </c>
      <c r="T547" s="4">
        <v>95.602999979929535</v>
      </c>
      <c r="U547" s="7">
        <v>0.55578519088575318</v>
      </c>
    </row>
    <row r="548" spans="19:21" x14ac:dyDescent="0.25">
      <c r="S548" s="11">
        <v>530</v>
      </c>
      <c r="T548" s="4">
        <v>75.826999604074587</v>
      </c>
      <c r="U548" s="7">
        <v>0.23396256475304456</v>
      </c>
    </row>
    <row r="549" spans="19:21" x14ac:dyDescent="0.25">
      <c r="S549" s="11">
        <v>531</v>
      </c>
      <c r="T549" s="4">
        <v>71.86217389885465</v>
      </c>
      <c r="U549" s="7">
        <v>0.16944139786582002</v>
      </c>
    </row>
    <row r="550" spans="19:21" x14ac:dyDescent="0.25">
      <c r="S550" s="11">
        <v>532</v>
      </c>
      <c r="T550" s="4">
        <v>62.899760331827643</v>
      </c>
      <c r="U550" s="7">
        <v>2.3592519639180409E-2</v>
      </c>
    </row>
    <row r="551" spans="19:21" x14ac:dyDescent="0.25">
      <c r="S551" s="11">
        <v>533</v>
      </c>
      <c r="T551" s="4">
        <v>85.370399981548601</v>
      </c>
      <c r="U551" s="7">
        <v>0.38926606967532296</v>
      </c>
    </row>
    <row r="552" spans="19:21" x14ac:dyDescent="0.25">
      <c r="S552" s="11">
        <v>534</v>
      </c>
      <c r="T552" s="4">
        <v>70.169217442468948</v>
      </c>
      <c r="U552" s="7">
        <v>0.14189125211503573</v>
      </c>
    </row>
    <row r="553" spans="19:21" x14ac:dyDescent="0.25">
      <c r="S553" s="11">
        <v>535</v>
      </c>
      <c r="T553" s="4">
        <v>74.990565199934295</v>
      </c>
      <c r="U553" s="7">
        <v>0.22035093897370683</v>
      </c>
    </row>
    <row r="554" spans="19:21" x14ac:dyDescent="0.25">
      <c r="S554" s="11">
        <v>536</v>
      </c>
      <c r="T554" s="4">
        <v>68.943620385953153</v>
      </c>
      <c r="U554" s="7">
        <v>0.12194662955171931</v>
      </c>
    </row>
    <row r="555" spans="19:21" x14ac:dyDescent="0.25">
      <c r="S555" s="11">
        <v>537</v>
      </c>
      <c r="T555" s="4">
        <v>58.257497222646371</v>
      </c>
      <c r="U555" s="7">
        <v>-5.1952852357260104E-2</v>
      </c>
    </row>
    <row r="556" spans="19:21" x14ac:dyDescent="0.25">
      <c r="S556" s="11">
        <v>538</v>
      </c>
      <c r="T556" s="4">
        <v>78.946551452891043</v>
      </c>
      <c r="U556" s="7">
        <v>0.28472825798032608</v>
      </c>
    </row>
    <row r="557" spans="19:21" x14ac:dyDescent="0.25">
      <c r="S557" s="11">
        <v>539</v>
      </c>
      <c r="T557" s="4">
        <v>70.376369864149765</v>
      </c>
      <c r="U557" s="7">
        <v>0.14526232488445512</v>
      </c>
    </row>
    <row r="558" spans="19:21" x14ac:dyDescent="0.25">
      <c r="S558" s="11">
        <v>540</v>
      </c>
      <c r="T558" s="4">
        <v>79.658253436556336</v>
      </c>
      <c r="U558" s="7">
        <v>0.29631006406112825</v>
      </c>
    </row>
    <row r="559" spans="19:21" x14ac:dyDescent="0.25">
      <c r="S559" s="11">
        <v>541</v>
      </c>
      <c r="T559" s="4">
        <v>84.143576892135485</v>
      </c>
      <c r="U559" s="7">
        <v>0.36930149539683454</v>
      </c>
    </row>
    <row r="560" spans="19:21" x14ac:dyDescent="0.25">
      <c r="S560" s="11">
        <v>542</v>
      </c>
      <c r="T560" s="4">
        <v>69.527584207926353</v>
      </c>
      <c r="U560" s="7">
        <v>0.1314497023258967</v>
      </c>
    </row>
    <row r="561" spans="19:21" x14ac:dyDescent="0.25">
      <c r="S561" s="11">
        <v>543</v>
      </c>
      <c r="T561" s="4">
        <v>61.031322679857439</v>
      </c>
      <c r="U561" s="7">
        <v>-6.8133005718887807E-3</v>
      </c>
    </row>
    <row r="562" spans="19:21" x14ac:dyDescent="0.25">
      <c r="S562" s="11">
        <v>544</v>
      </c>
      <c r="T562" s="4">
        <v>65.628779047005025</v>
      </c>
      <c r="U562" s="7">
        <v>6.8002913702278622E-2</v>
      </c>
    </row>
    <row r="563" spans="19:21" x14ac:dyDescent="0.25">
      <c r="S563" s="11">
        <v>545</v>
      </c>
      <c r="T563" s="4">
        <v>87.235894706268553</v>
      </c>
      <c r="U563" s="7">
        <v>0.41962399847467124</v>
      </c>
    </row>
    <row r="564" spans="19:21" x14ac:dyDescent="0.25">
      <c r="S564" s="11">
        <v>546</v>
      </c>
      <c r="T564" s="4">
        <v>76.367867985031921</v>
      </c>
      <c r="U564" s="7">
        <v>0.24276432847895713</v>
      </c>
    </row>
    <row r="565" spans="19:21" x14ac:dyDescent="0.25">
      <c r="S565" s="11">
        <v>547</v>
      </c>
      <c r="T565" s="4">
        <v>57.962017960905463</v>
      </c>
      <c r="U565" s="7">
        <v>-5.6761302507640998E-2</v>
      </c>
    </row>
    <row r="566" spans="19:21" x14ac:dyDescent="0.25">
      <c r="S566" s="11">
        <v>548</v>
      </c>
      <c r="T566" s="4">
        <v>67.62624125154872</v>
      </c>
      <c r="U566" s="7">
        <v>0.10050840116434046</v>
      </c>
    </row>
    <row r="567" spans="19:21" x14ac:dyDescent="0.25">
      <c r="S567" s="11">
        <v>549</v>
      </c>
      <c r="T567" s="4">
        <v>80.449199653913254</v>
      </c>
      <c r="U567" s="7">
        <v>0.3091814426999715</v>
      </c>
    </row>
    <row r="568" spans="19:21" x14ac:dyDescent="0.25">
      <c r="S568" s="11">
        <v>550</v>
      </c>
      <c r="T568" s="4">
        <v>86.478208491693024</v>
      </c>
      <c r="U568" s="7">
        <v>0.40729387293235186</v>
      </c>
    </row>
    <row r="569" spans="19:21" x14ac:dyDescent="0.25">
      <c r="S569" s="11">
        <v>551</v>
      </c>
      <c r="T569" s="4">
        <v>75.773684063707293</v>
      </c>
      <c r="U569" s="7">
        <v>0.2330949400115101</v>
      </c>
    </row>
    <row r="570" spans="19:21" x14ac:dyDescent="0.25">
      <c r="S570" s="11">
        <v>552</v>
      </c>
      <c r="T570" s="4">
        <v>71.69096547900385</v>
      </c>
      <c r="U570" s="7">
        <v>0.16665525596426112</v>
      </c>
    </row>
    <row r="571" spans="19:21" x14ac:dyDescent="0.25">
      <c r="S571" s="11">
        <v>553</v>
      </c>
      <c r="T571" s="4">
        <v>66.631371124281358</v>
      </c>
      <c r="U571" s="7">
        <v>8.4318488596930141E-2</v>
      </c>
    </row>
    <row r="572" spans="19:21" x14ac:dyDescent="0.25">
      <c r="S572" s="11">
        <v>554</v>
      </c>
      <c r="T572" s="4">
        <v>103.43208451611005</v>
      </c>
      <c r="U572" s="7">
        <v>0.68319096039235228</v>
      </c>
    </row>
    <row r="573" spans="19:21" x14ac:dyDescent="0.25">
      <c r="S573" s="11">
        <v>555</v>
      </c>
      <c r="T573" s="4">
        <v>82.463202605419923</v>
      </c>
      <c r="U573" s="7">
        <v>0.34195610423791578</v>
      </c>
    </row>
    <row r="574" spans="19:21" x14ac:dyDescent="0.25">
      <c r="S574" s="11">
        <v>556</v>
      </c>
      <c r="T574" s="4">
        <v>64.578550508658395</v>
      </c>
      <c r="U574" s="7">
        <v>5.0912131955384687E-2</v>
      </c>
    </row>
    <row r="575" spans="19:21" x14ac:dyDescent="0.25">
      <c r="S575" s="11">
        <v>557</v>
      </c>
      <c r="T575" s="4">
        <v>75.584378479028871</v>
      </c>
      <c r="U575" s="7">
        <v>0.23001429583448108</v>
      </c>
    </row>
    <row r="576" spans="19:21" x14ac:dyDescent="0.25">
      <c r="S576" s="11">
        <v>558</v>
      </c>
      <c r="T576" s="4">
        <v>73.157479947467309</v>
      </c>
      <c r="U576" s="7">
        <v>0.19052042225333277</v>
      </c>
    </row>
    <row r="577" spans="19:21" x14ac:dyDescent="0.25">
      <c r="S577" s="11">
        <v>559</v>
      </c>
      <c r="T577" s="4">
        <v>58.481482085286586</v>
      </c>
      <c r="U577" s="7">
        <v>-4.8307858660918135E-2</v>
      </c>
    </row>
    <row r="578" spans="19:21" x14ac:dyDescent="0.25">
      <c r="S578" s="11">
        <v>560</v>
      </c>
      <c r="T578" s="4">
        <v>71.583528958490902</v>
      </c>
      <c r="U578" s="7">
        <v>0.16490689924313906</v>
      </c>
    </row>
    <row r="579" spans="19:21" x14ac:dyDescent="0.25">
      <c r="S579" s="11">
        <v>561</v>
      </c>
      <c r="T579" s="4">
        <v>85.152470462111324</v>
      </c>
      <c r="U579" s="7">
        <v>0.38571961695868717</v>
      </c>
    </row>
    <row r="580" spans="19:21" x14ac:dyDescent="0.25">
      <c r="S580" s="11">
        <v>562</v>
      </c>
      <c r="T580" s="4">
        <v>118.44495566984654</v>
      </c>
      <c r="U580" s="7">
        <v>0.92750131277211612</v>
      </c>
    </row>
    <row r="581" spans="19:21" x14ac:dyDescent="0.25">
      <c r="S581" s="11">
        <v>563</v>
      </c>
      <c r="T581" s="4">
        <v>83.992754728803519</v>
      </c>
      <c r="U581" s="7">
        <v>0.366847107059455</v>
      </c>
    </row>
    <row r="582" spans="19:21" x14ac:dyDescent="0.25">
      <c r="S582" s="11">
        <v>564</v>
      </c>
      <c r="T582" s="4">
        <v>64.758791577770353</v>
      </c>
      <c r="U582" s="7">
        <v>5.3845265708223788E-2</v>
      </c>
    </row>
    <row r="583" spans="19:21" x14ac:dyDescent="0.25">
      <c r="S583" s="11">
        <v>565</v>
      </c>
      <c r="T583" s="4">
        <v>71.15412972010472</v>
      </c>
      <c r="U583" s="7">
        <v>0.15791911668193181</v>
      </c>
    </row>
    <row r="584" spans="19:21" x14ac:dyDescent="0.25">
      <c r="S584" s="11">
        <v>566</v>
      </c>
      <c r="T584" s="4">
        <v>80.912576913028573</v>
      </c>
      <c r="U584" s="7">
        <v>0.31672216294594913</v>
      </c>
    </row>
    <row r="585" spans="19:21" x14ac:dyDescent="0.25">
      <c r="S585" s="11">
        <v>567</v>
      </c>
      <c r="T585" s="4">
        <v>61.448614499070906</v>
      </c>
      <c r="U585" s="7">
        <v>-2.2546801124456728E-5</v>
      </c>
    </row>
    <row r="586" spans="19:21" x14ac:dyDescent="0.25">
      <c r="S586" s="11">
        <v>568</v>
      </c>
      <c r="T586" s="4">
        <v>70.544555152885891</v>
      </c>
      <c r="U586" s="7">
        <v>0.14799927018528702</v>
      </c>
    </row>
    <row r="587" spans="19:21" x14ac:dyDescent="0.25">
      <c r="S587" s="11">
        <v>569</v>
      </c>
      <c r="T587" s="4">
        <v>76.301721215307182</v>
      </c>
      <c r="U587" s="7">
        <v>0.24168789609938446</v>
      </c>
    </row>
    <row r="588" spans="19:21" x14ac:dyDescent="0.25">
      <c r="S588" s="11">
        <v>570</v>
      </c>
      <c r="T588" s="4">
        <v>89.817227644763861</v>
      </c>
      <c r="U588" s="7">
        <v>0.46163104385295139</v>
      </c>
    </row>
    <row r="589" spans="19:21" x14ac:dyDescent="0.25">
      <c r="S589" s="11">
        <v>571</v>
      </c>
      <c r="T589" s="4">
        <v>84.63523110121713</v>
      </c>
      <c r="U589" s="7">
        <v>0.37730237756252438</v>
      </c>
    </row>
    <row r="590" spans="19:21" x14ac:dyDescent="0.25">
      <c r="S590" s="11">
        <v>572</v>
      </c>
      <c r="T590" s="4">
        <v>111.45049165693885</v>
      </c>
      <c r="U590" s="7">
        <v>0.81367765104863876</v>
      </c>
    </row>
    <row r="591" spans="19:21" x14ac:dyDescent="0.25">
      <c r="S591" s="11">
        <v>573</v>
      </c>
      <c r="T591" s="4">
        <v>79.638838170889343</v>
      </c>
      <c r="U591" s="7">
        <v>0.29599411181268254</v>
      </c>
    </row>
    <row r="592" spans="19:21" x14ac:dyDescent="0.25">
      <c r="S592" s="11">
        <v>574</v>
      </c>
      <c r="T592" s="4">
        <v>65.570228217856851</v>
      </c>
      <c r="U592" s="7">
        <v>6.7050093048931725E-2</v>
      </c>
    </row>
    <row r="593" spans="19:21" x14ac:dyDescent="0.25">
      <c r="S593" s="11">
        <v>575</v>
      </c>
      <c r="T593" s="4">
        <v>70.536682683940811</v>
      </c>
      <c r="U593" s="7">
        <v>0.14787115840424425</v>
      </c>
    </row>
    <row r="594" spans="19:21" x14ac:dyDescent="0.25">
      <c r="S594" s="11">
        <v>576</v>
      </c>
      <c r="T594" s="4">
        <v>68.807103240436874</v>
      </c>
      <c r="U594" s="7">
        <v>0.11972503239116139</v>
      </c>
    </row>
    <row r="595" spans="19:21" x14ac:dyDescent="0.25">
      <c r="S595" s="11">
        <v>577</v>
      </c>
      <c r="T595" s="4">
        <v>79.815455351032639</v>
      </c>
      <c r="U595" s="7">
        <v>0.29886827259613735</v>
      </c>
    </row>
    <row r="596" spans="19:21" x14ac:dyDescent="0.25">
      <c r="S596" s="11">
        <v>578</v>
      </c>
      <c r="T596" s="4">
        <v>56.988325079517899</v>
      </c>
      <c r="U596" s="7">
        <v>-7.2606589430139978E-2</v>
      </c>
    </row>
    <row r="597" spans="19:21" x14ac:dyDescent="0.25">
      <c r="S597" s="11">
        <v>579</v>
      </c>
      <c r="T597" s="4">
        <v>70.991796109760315</v>
      </c>
      <c r="U597" s="7">
        <v>0.15527739804329221</v>
      </c>
    </row>
    <row r="598" spans="19:21" x14ac:dyDescent="0.25">
      <c r="S598" s="11">
        <v>580</v>
      </c>
      <c r="T598" s="4">
        <v>86.741308575043377</v>
      </c>
      <c r="U598" s="7">
        <v>0.41157540398768711</v>
      </c>
    </row>
    <row r="599" spans="19:21" x14ac:dyDescent="0.25">
      <c r="S599" s="11">
        <v>581</v>
      </c>
      <c r="T599" s="4">
        <v>58.871161924747575</v>
      </c>
      <c r="U599" s="7">
        <v>-4.1966445488241244E-2</v>
      </c>
    </row>
    <row r="600" spans="19:21" x14ac:dyDescent="0.25">
      <c r="S600" s="11">
        <v>582</v>
      </c>
      <c r="T600" s="4">
        <v>73.561375952820015</v>
      </c>
      <c r="U600" s="7">
        <v>0.19709318068055359</v>
      </c>
    </row>
    <row r="601" spans="19:21" x14ac:dyDescent="0.25">
      <c r="S601" s="11">
        <v>583</v>
      </c>
      <c r="T601" s="4">
        <v>68.305324024235389</v>
      </c>
      <c r="U601" s="7">
        <v>0.1115593820054579</v>
      </c>
    </row>
    <row r="602" spans="19:21" x14ac:dyDescent="0.25">
      <c r="S602" s="11">
        <v>584</v>
      </c>
      <c r="T602" s="4">
        <v>59.496628319702822</v>
      </c>
      <c r="U602" s="7">
        <v>-3.1787985033314592E-2</v>
      </c>
    </row>
    <row r="603" spans="19:21" x14ac:dyDescent="0.25">
      <c r="S603" s="11">
        <v>585</v>
      </c>
      <c r="T603" s="4">
        <v>73.869820768181938</v>
      </c>
      <c r="U603" s="7">
        <v>0.20211262438050337</v>
      </c>
    </row>
    <row r="604" spans="19:21" x14ac:dyDescent="0.25">
      <c r="S604" s="11">
        <v>586</v>
      </c>
      <c r="T604" s="4">
        <v>64.780629587799524</v>
      </c>
      <c r="U604" s="7">
        <v>5.4200644227819783E-2</v>
      </c>
    </row>
    <row r="605" spans="19:21" x14ac:dyDescent="0.25">
      <c r="S605" s="11">
        <v>587</v>
      </c>
      <c r="T605" s="4">
        <v>88.998812655261332</v>
      </c>
      <c r="U605" s="7">
        <v>0.44831265508968809</v>
      </c>
    </row>
    <row r="606" spans="19:21" x14ac:dyDescent="0.25">
      <c r="S606" s="11">
        <v>588</v>
      </c>
      <c r="T606" s="4">
        <v>97.802555277985334</v>
      </c>
      <c r="U606" s="7">
        <v>0.59157941868161634</v>
      </c>
    </row>
    <row r="607" spans="19:21" x14ac:dyDescent="0.25">
      <c r="S607" s="11">
        <v>589</v>
      </c>
      <c r="T607" s="4">
        <v>102.86484286047444</v>
      </c>
      <c r="U607" s="7">
        <v>0.67396001400283856</v>
      </c>
    </row>
    <row r="608" spans="19:21" x14ac:dyDescent="0.25">
      <c r="S608" s="11">
        <v>590</v>
      </c>
      <c r="T608" s="4">
        <v>66.962853386654842</v>
      </c>
      <c r="U608" s="7">
        <v>8.9712829725872023E-2</v>
      </c>
    </row>
    <row r="609" spans="19:21" x14ac:dyDescent="0.25">
      <c r="S609" s="11">
        <v>591</v>
      </c>
      <c r="T609" s="4">
        <v>79.245923799448406</v>
      </c>
      <c r="U609" s="7">
        <v>0.28960006182991704</v>
      </c>
    </row>
    <row r="610" spans="19:21" x14ac:dyDescent="0.25">
      <c r="S610" s="11">
        <v>592</v>
      </c>
      <c r="T610" s="4">
        <v>76.688574589001476</v>
      </c>
      <c r="U610" s="7">
        <v>0.24798331308383204</v>
      </c>
    </row>
    <row r="611" spans="19:21" x14ac:dyDescent="0.25">
      <c r="S611" s="11">
        <v>593</v>
      </c>
      <c r="T611" s="4">
        <v>79.619047792845024</v>
      </c>
      <c r="U611" s="7">
        <v>0.29567205521310047</v>
      </c>
    </row>
    <row r="612" spans="19:21" x14ac:dyDescent="0.25">
      <c r="S612" s="11">
        <v>594</v>
      </c>
      <c r="T612" s="4">
        <v>74.068662044480774</v>
      </c>
      <c r="U612" s="7">
        <v>0.20534844661482143</v>
      </c>
    </row>
    <row r="613" spans="19:21" x14ac:dyDescent="0.25">
      <c r="S613" s="11">
        <v>595</v>
      </c>
      <c r="T613" s="4">
        <v>82.646733658826818</v>
      </c>
      <c r="U613" s="7">
        <v>0.34494277719815813</v>
      </c>
    </row>
    <row r="614" spans="19:21" x14ac:dyDescent="0.25">
      <c r="S614" s="11">
        <v>596</v>
      </c>
      <c r="T614" s="4">
        <v>60.868882656630838</v>
      </c>
      <c r="U614" s="7">
        <v>-9.4567509091808555E-3</v>
      </c>
    </row>
    <row r="615" spans="19:21" x14ac:dyDescent="0.25">
      <c r="S615" s="11">
        <v>597</v>
      </c>
      <c r="T615" s="4">
        <v>78.620494214171231</v>
      </c>
      <c r="U615" s="7">
        <v>0.27942220039334797</v>
      </c>
    </row>
    <row r="616" spans="19:21" x14ac:dyDescent="0.25">
      <c r="S616" s="11">
        <v>598</v>
      </c>
      <c r="T616" s="4">
        <v>87.373260702264787</v>
      </c>
      <c r="U616" s="7">
        <v>0.42185940931268973</v>
      </c>
    </row>
    <row r="617" spans="19:21" x14ac:dyDescent="0.25">
      <c r="S617" s="11">
        <v>599</v>
      </c>
      <c r="T617" s="4">
        <v>113.19326491452649</v>
      </c>
      <c r="U617" s="7">
        <v>0.84203848518350677</v>
      </c>
    </row>
    <row r="618" spans="19:21" x14ac:dyDescent="0.25">
      <c r="S618" s="11">
        <v>600</v>
      </c>
      <c r="T618" s="4">
        <v>96.77670534246063</v>
      </c>
      <c r="U618" s="7">
        <v>0.5748853595192942</v>
      </c>
    </row>
    <row r="619" spans="19:21" x14ac:dyDescent="0.25">
      <c r="S619" s="11">
        <v>601</v>
      </c>
      <c r="T619" s="4">
        <v>88.94600374631419</v>
      </c>
      <c r="U619" s="7">
        <v>0.44745327496036102</v>
      </c>
    </row>
    <row r="620" spans="19:21" x14ac:dyDescent="0.25">
      <c r="S620" s="11">
        <v>602</v>
      </c>
      <c r="T620" s="4">
        <v>66.511535005059301</v>
      </c>
      <c r="U620" s="7">
        <v>8.2368348332942265E-2</v>
      </c>
    </row>
    <row r="621" spans="19:21" x14ac:dyDescent="0.25">
      <c r="S621" s="11">
        <v>603</v>
      </c>
      <c r="T621" s="4">
        <v>83.696548408901506</v>
      </c>
      <c r="U621" s="7">
        <v>0.36202682520588292</v>
      </c>
    </row>
    <row r="622" spans="19:21" x14ac:dyDescent="0.25">
      <c r="S622" s="11">
        <v>604</v>
      </c>
      <c r="T622" s="4">
        <v>98.110527042500038</v>
      </c>
      <c r="U622" s="7">
        <v>0.59659116423921943</v>
      </c>
    </row>
    <row r="623" spans="19:21" x14ac:dyDescent="0.25">
      <c r="S623" s="11">
        <v>605</v>
      </c>
      <c r="T623" s="4">
        <v>72.769738688286679</v>
      </c>
      <c r="U623" s="7">
        <v>0.18421055635942518</v>
      </c>
    </row>
    <row r="624" spans="19:21" x14ac:dyDescent="0.25">
      <c r="S624" s="11">
        <v>606</v>
      </c>
      <c r="T624" s="4">
        <v>89.870587231283707</v>
      </c>
      <c r="U624" s="7">
        <v>0.46249938537483648</v>
      </c>
    </row>
    <row r="625" spans="19:21" x14ac:dyDescent="0.25">
      <c r="S625" s="11">
        <v>607</v>
      </c>
      <c r="T625" s="4">
        <v>84.121845223441724</v>
      </c>
      <c r="U625" s="7">
        <v>0.36894784741158215</v>
      </c>
    </row>
    <row r="626" spans="19:21" x14ac:dyDescent="0.25">
      <c r="S626" s="11">
        <v>608</v>
      </c>
      <c r="T626" s="4">
        <v>72.93803765550328</v>
      </c>
      <c r="U626" s="7">
        <v>0.18694935159484594</v>
      </c>
    </row>
    <row r="627" spans="19:21" x14ac:dyDescent="0.25">
      <c r="S627" s="11">
        <v>609</v>
      </c>
      <c r="T627" s="4">
        <v>72.832827511007935</v>
      </c>
      <c r="U627" s="7">
        <v>0.18523722556562938</v>
      </c>
    </row>
    <row r="628" spans="19:21" x14ac:dyDescent="0.25">
      <c r="S628" s="11">
        <v>610</v>
      </c>
      <c r="T628" s="4">
        <v>72.315519641960776</v>
      </c>
      <c r="U628" s="7">
        <v>0.17681887130936969</v>
      </c>
    </row>
    <row r="629" spans="19:21" x14ac:dyDescent="0.25">
      <c r="S629" s="11">
        <v>611</v>
      </c>
      <c r="T629" s="4">
        <v>65.568024591775043</v>
      </c>
      <c r="U629" s="7">
        <v>6.7014232575671961E-2</v>
      </c>
    </row>
    <row r="630" spans="19:21" x14ac:dyDescent="0.25">
      <c r="S630" s="11">
        <v>612</v>
      </c>
      <c r="T630" s="4">
        <v>72.251212253037394</v>
      </c>
      <c r="U630" s="7">
        <v>0.17577237189645878</v>
      </c>
    </row>
    <row r="631" spans="19:21" x14ac:dyDescent="0.25">
      <c r="S631" s="11">
        <v>613</v>
      </c>
      <c r="T631" s="4">
        <v>49.894422847213775</v>
      </c>
      <c r="U631" s="7">
        <v>-0.1880484483773186</v>
      </c>
    </row>
    <row r="632" spans="19:21" x14ac:dyDescent="0.25">
      <c r="S632" s="11">
        <v>614</v>
      </c>
      <c r="T632" s="4">
        <v>72.208765460408614</v>
      </c>
      <c r="U632" s="7">
        <v>0.1750816185583175</v>
      </c>
    </row>
    <row r="633" spans="19:21" x14ac:dyDescent="0.25">
      <c r="S633" s="11">
        <v>615</v>
      </c>
      <c r="T633" s="4">
        <v>80.699484229707792</v>
      </c>
      <c r="U633" s="7">
        <v>0.31325442196432518</v>
      </c>
    </row>
    <row r="634" spans="19:21" x14ac:dyDescent="0.25">
      <c r="S634" s="11">
        <v>616</v>
      </c>
      <c r="T634" s="4">
        <v>77.6581198743215</v>
      </c>
      <c r="U634" s="7">
        <v>0.26376110454550838</v>
      </c>
    </row>
    <row r="635" spans="19:21" x14ac:dyDescent="0.25">
      <c r="S635" s="11">
        <v>617</v>
      </c>
      <c r="T635" s="4">
        <v>81.987781051034887</v>
      </c>
      <c r="U635" s="7">
        <v>0.33421938244157667</v>
      </c>
    </row>
    <row r="636" spans="19:21" x14ac:dyDescent="0.25">
      <c r="S636" s="11">
        <v>618</v>
      </c>
      <c r="T636" s="4">
        <v>67.278398392614662</v>
      </c>
      <c r="U636" s="7">
        <v>9.4847817617813801E-2</v>
      </c>
    </row>
    <row r="637" spans="19:21" x14ac:dyDescent="0.25">
      <c r="S637" s="11">
        <v>619</v>
      </c>
      <c r="T637" s="4">
        <v>76.851394809347966</v>
      </c>
      <c r="U637" s="7">
        <v>0.2506329505182745</v>
      </c>
    </row>
    <row r="638" spans="19:21" x14ac:dyDescent="0.25">
      <c r="S638" s="11">
        <v>620</v>
      </c>
      <c r="T638" s="4">
        <v>64.393397711146477</v>
      </c>
      <c r="U638" s="7">
        <v>4.7899067715971855E-2</v>
      </c>
    </row>
    <row r="639" spans="19:21" x14ac:dyDescent="0.25">
      <c r="S639" s="11">
        <v>621</v>
      </c>
      <c r="T639" s="4">
        <v>78.741575692779861</v>
      </c>
      <c r="U639" s="7">
        <v>0.28139260688006273</v>
      </c>
    </row>
    <row r="640" spans="19:21" x14ac:dyDescent="0.25">
      <c r="S640" s="11">
        <v>622</v>
      </c>
      <c r="T640" s="4">
        <v>67.270519598311381</v>
      </c>
      <c r="U640" s="7">
        <v>9.4719602901731204E-2</v>
      </c>
    </row>
    <row r="641" spans="19:21" x14ac:dyDescent="0.25">
      <c r="S641" s="11">
        <v>623</v>
      </c>
      <c r="T641" s="4">
        <v>90.580025967462021</v>
      </c>
      <c r="U641" s="7">
        <v>0.47404436073982126</v>
      </c>
    </row>
    <row r="642" spans="19:21" x14ac:dyDescent="0.25">
      <c r="S642" s="11">
        <v>624</v>
      </c>
      <c r="T642" s="4">
        <v>63.391747014242526</v>
      </c>
      <c r="U642" s="7">
        <v>3.1598812274084898E-2</v>
      </c>
    </row>
    <row r="643" spans="19:21" x14ac:dyDescent="0.25">
      <c r="S643" s="11">
        <v>625</v>
      </c>
      <c r="T643" s="4">
        <v>68.974125564930858</v>
      </c>
      <c r="U643" s="7">
        <v>0.12244305231783326</v>
      </c>
    </row>
    <row r="644" spans="19:21" x14ac:dyDescent="0.25">
      <c r="S644" s="11">
        <v>626</v>
      </c>
      <c r="T644" s="4">
        <v>91.142902738036767</v>
      </c>
      <c r="U644" s="7">
        <v>0.48320427563932888</v>
      </c>
    </row>
    <row r="645" spans="19:21" x14ac:dyDescent="0.25">
      <c r="S645" s="11">
        <v>627</v>
      </c>
      <c r="T645" s="4">
        <v>69.135434232718879</v>
      </c>
      <c r="U645" s="7">
        <v>0.1250680916634479</v>
      </c>
    </row>
    <row r="646" spans="19:21" x14ac:dyDescent="0.25">
      <c r="S646" s="11">
        <v>628</v>
      </c>
      <c r="T646" s="4">
        <v>71.799398560954756</v>
      </c>
      <c r="U646" s="7">
        <v>0.16841983012131423</v>
      </c>
    </row>
    <row r="647" spans="19:21" x14ac:dyDescent="0.25">
      <c r="S647" s="11">
        <v>629</v>
      </c>
      <c r="T647" s="4">
        <v>66.150097814904456</v>
      </c>
      <c r="U647" s="7">
        <v>7.6486538891854305E-2</v>
      </c>
    </row>
    <row r="648" spans="19:21" x14ac:dyDescent="0.25">
      <c r="S648" s="11">
        <v>630</v>
      </c>
      <c r="T648" s="4">
        <v>67.122967168000841</v>
      </c>
      <c r="U648" s="7">
        <v>9.2318424214822503E-2</v>
      </c>
    </row>
    <row r="649" spans="19:21" x14ac:dyDescent="0.25">
      <c r="S649" s="11">
        <v>631</v>
      </c>
      <c r="T649" s="4">
        <v>101.76850726274226</v>
      </c>
      <c r="U649" s="7">
        <v>0.65611891395837674</v>
      </c>
    </row>
    <row r="650" spans="19:21" x14ac:dyDescent="0.25">
      <c r="S650" s="11">
        <v>632</v>
      </c>
      <c r="T650" s="4">
        <v>73.71592073730335</v>
      </c>
      <c r="U650" s="7">
        <v>0.19960814869492838</v>
      </c>
    </row>
    <row r="651" spans="19:21" x14ac:dyDescent="0.25">
      <c r="S651" s="11">
        <v>633</v>
      </c>
      <c r="T651" s="4">
        <v>51.446190797078877</v>
      </c>
      <c r="U651" s="7">
        <v>-0.16279591868057164</v>
      </c>
    </row>
    <row r="652" spans="19:21" x14ac:dyDescent="0.25">
      <c r="S652" s="11">
        <v>634</v>
      </c>
      <c r="T652" s="4">
        <v>67.919072309723845</v>
      </c>
      <c r="U652" s="7">
        <v>0.1052737560573449</v>
      </c>
    </row>
    <row r="653" spans="19:21" x14ac:dyDescent="0.25">
      <c r="S653" s="11">
        <v>635</v>
      </c>
      <c r="T653" s="4">
        <v>49.453267247984591</v>
      </c>
      <c r="U653" s="7">
        <v>-0.1952275468188025</v>
      </c>
    </row>
    <row r="654" spans="19:21" x14ac:dyDescent="0.25">
      <c r="S654" s="11">
        <v>636</v>
      </c>
      <c r="T654" s="4">
        <v>73.223069432837931</v>
      </c>
      <c r="U654" s="7">
        <v>0.19158778572559698</v>
      </c>
    </row>
    <row r="655" spans="19:21" x14ac:dyDescent="0.25">
      <c r="S655" s="11">
        <v>637</v>
      </c>
      <c r="T655" s="4">
        <v>74.599447626055678</v>
      </c>
      <c r="U655" s="7">
        <v>0.21398612898381897</v>
      </c>
    </row>
    <row r="656" spans="19:21" x14ac:dyDescent="0.25">
      <c r="S656" s="11">
        <v>638</v>
      </c>
      <c r="T656" s="4">
        <v>80.171983224261254</v>
      </c>
      <c r="U656" s="7">
        <v>0.30467019079351099</v>
      </c>
    </row>
    <row r="657" spans="19:21" x14ac:dyDescent="0.25">
      <c r="S657" s="11">
        <v>639</v>
      </c>
      <c r="T657" s="4">
        <v>98.847099623582011</v>
      </c>
      <c r="U657" s="7">
        <v>0.60857769932598882</v>
      </c>
    </row>
    <row r="658" spans="19:21" x14ac:dyDescent="0.25">
      <c r="S658" s="11">
        <v>640</v>
      </c>
      <c r="T658" s="4">
        <v>78.891789156739705</v>
      </c>
      <c r="U658" s="7">
        <v>0.28383708961333931</v>
      </c>
    </row>
    <row r="659" spans="19:21" x14ac:dyDescent="0.25">
      <c r="S659" s="11">
        <v>641</v>
      </c>
      <c r="T659" s="4">
        <v>75.290934163235733</v>
      </c>
      <c r="U659" s="7">
        <v>0.22523896115924691</v>
      </c>
    </row>
    <row r="660" spans="19:21" x14ac:dyDescent="0.25">
      <c r="S660" s="11">
        <v>642</v>
      </c>
      <c r="T660" s="4">
        <v>61.577984261493924</v>
      </c>
      <c r="U660" s="7">
        <v>2.0827381854178206E-3</v>
      </c>
    </row>
    <row r="661" spans="19:21" x14ac:dyDescent="0.25">
      <c r="S661" s="11">
        <v>643</v>
      </c>
      <c r="T661" s="4">
        <v>65.767539773325254</v>
      </c>
      <c r="U661" s="7">
        <v>7.0261021534991919E-2</v>
      </c>
    </row>
    <row r="662" spans="19:21" x14ac:dyDescent="0.25">
      <c r="S662" s="11">
        <v>644</v>
      </c>
      <c r="T662" s="4">
        <v>101.23712398636989</v>
      </c>
      <c r="U662" s="7">
        <v>0.64747150506704454</v>
      </c>
    </row>
    <row r="663" spans="19:21" x14ac:dyDescent="0.25">
      <c r="S663" s="11">
        <v>645</v>
      </c>
      <c r="T663" s="4">
        <v>86.154567924169058</v>
      </c>
      <c r="U663" s="7">
        <v>0.40202714278550133</v>
      </c>
    </row>
    <row r="664" spans="19:21" x14ac:dyDescent="0.25">
      <c r="S664" s="11">
        <v>646</v>
      </c>
      <c r="T664" s="4">
        <v>74.963507694147111</v>
      </c>
      <c r="U664" s="7">
        <v>0.21991062154836638</v>
      </c>
    </row>
    <row r="665" spans="19:21" x14ac:dyDescent="0.25">
      <c r="S665" s="11">
        <v>647</v>
      </c>
      <c r="T665" s="4">
        <v>64.636278162349782</v>
      </c>
      <c r="U665" s="7">
        <v>5.1851556751013606E-2</v>
      </c>
    </row>
    <row r="666" spans="19:21" x14ac:dyDescent="0.25">
      <c r="S666" s="11">
        <v>648</v>
      </c>
      <c r="T666" s="4">
        <v>80.332216661914231</v>
      </c>
      <c r="U666" s="7">
        <v>0.30727773249657009</v>
      </c>
    </row>
    <row r="667" spans="19:21" x14ac:dyDescent="0.25">
      <c r="S667" s="11">
        <v>649</v>
      </c>
      <c r="T667" s="4">
        <v>81.5082923168317</v>
      </c>
      <c r="U667" s="7">
        <v>0.32641647382964512</v>
      </c>
    </row>
    <row r="668" spans="19:21" x14ac:dyDescent="0.25">
      <c r="S668" s="11">
        <v>650</v>
      </c>
      <c r="T668" s="4">
        <v>70.245763157265131</v>
      </c>
      <c r="U668" s="7">
        <v>0.14313691061456679</v>
      </c>
    </row>
    <row r="669" spans="19:21" x14ac:dyDescent="0.25">
      <c r="S669" s="11">
        <v>651</v>
      </c>
      <c r="T669" s="4">
        <v>66.96144267003875</v>
      </c>
      <c r="U669" s="7">
        <v>8.9689872579963303E-2</v>
      </c>
    </row>
    <row r="670" spans="19:21" x14ac:dyDescent="0.25">
      <c r="S670" s="11">
        <v>652</v>
      </c>
      <c r="T670" s="4">
        <v>97.772930415218028</v>
      </c>
      <c r="U670" s="7">
        <v>0.59109732164716067</v>
      </c>
    </row>
    <row r="671" spans="19:21" x14ac:dyDescent="0.25">
      <c r="S671" s="11">
        <v>653</v>
      </c>
      <c r="T671" s="4">
        <v>86.185201845207771</v>
      </c>
      <c r="U671" s="7">
        <v>0.40252566062176998</v>
      </c>
    </row>
    <row r="672" spans="19:21" x14ac:dyDescent="0.25">
      <c r="S672" s="11">
        <v>654</v>
      </c>
      <c r="T672" s="4">
        <v>72.815382722894299</v>
      </c>
      <c r="U672" s="7">
        <v>0.18495333967281202</v>
      </c>
    </row>
    <row r="673" spans="19:21" x14ac:dyDescent="0.25">
      <c r="S673" s="11">
        <v>655</v>
      </c>
      <c r="T673" s="4">
        <v>105.56274151599612</v>
      </c>
      <c r="U673" s="7">
        <v>0.71786397910490019</v>
      </c>
    </row>
    <row r="674" spans="19:21" x14ac:dyDescent="0.25">
      <c r="S674" s="11">
        <v>656</v>
      </c>
      <c r="T674" s="4">
        <v>60.03106883263424</v>
      </c>
      <c r="U674" s="7">
        <v>-2.3090824529955478E-2</v>
      </c>
    </row>
    <row r="675" spans="19:21" x14ac:dyDescent="0.25">
      <c r="S675" s="11">
        <v>657</v>
      </c>
      <c r="T675" s="4">
        <v>105.94980020335277</v>
      </c>
      <c r="U675" s="7">
        <v>0.72416273723926383</v>
      </c>
    </row>
    <row r="676" spans="19:21" x14ac:dyDescent="0.25">
      <c r="S676" s="11">
        <v>658</v>
      </c>
      <c r="T676" s="4">
        <v>72.900759686654411</v>
      </c>
      <c r="U676" s="7">
        <v>0.18634271255743551</v>
      </c>
    </row>
    <row r="677" spans="19:21" x14ac:dyDescent="0.25">
      <c r="S677" s="11">
        <v>659</v>
      </c>
      <c r="T677" s="4">
        <v>84.34319352432982</v>
      </c>
      <c r="U677" s="7">
        <v>0.37254993530235669</v>
      </c>
    </row>
    <row r="678" spans="19:21" x14ac:dyDescent="0.25">
      <c r="S678" s="11">
        <v>660</v>
      </c>
      <c r="T678" s="4">
        <v>83.128121189675213</v>
      </c>
      <c r="U678" s="7">
        <v>0.35277658567412873</v>
      </c>
    </row>
    <row r="679" spans="19:21" x14ac:dyDescent="0.25">
      <c r="S679" s="11">
        <v>661</v>
      </c>
      <c r="T679" s="4">
        <v>86.825859911403512</v>
      </c>
      <c r="U679" s="7">
        <v>0.41295134111315712</v>
      </c>
    </row>
    <row r="680" spans="19:21" x14ac:dyDescent="0.25">
      <c r="S680" s="11">
        <v>662</v>
      </c>
      <c r="T680" s="4">
        <v>78.535873976782128</v>
      </c>
      <c r="U680" s="7">
        <v>0.27804514201435526</v>
      </c>
    </row>
    <row r="681" spans="19:21" x14ac:dyDescent="0.25">
      <c r="S681" s="11">
        <v>663</v>
      </c>
      <c r="T681" s="4">
        <v>71.078485266139921</v>
      </c>
      <c r="U681" s="7">
        <v>0.15668812475410765</v>
      </c>
    </row>
    <row r="682" spans="19:21" x14ac:dyDescent="0.25">
      <c r="S682" s="11">
        <v>664</v>
      </c>
      <c r="T682" s="4">
        <v>70.417237499516389</v>
      </c>
      <c r="U682" s="7">
        <v>0.14592737997585647</v>
      </c>
    </row>
    <row r="683" spans="19:21" x14ac:dyDescent="0.25">
      <c r="S683" s="11">
        <v>665</v>
      </c>
      <c r="T683" s="4">
        <v>80.700585387584084</v>
      </c>
      <c r="U683" s="7">
        <v>0.3132723415392038</v>
      </c>
    </row>
    <row r="684" spans="19:21" x14ac:dyDescent="0.25">
      <c r="S684" s="11">
        <v>666</v>
      </c>
      <c r="T684" s="4">
        <v>86.354312192957877</v>
      </c>
      <c r="U684" s="7">
        <v>0.40527765977148689</v>
      </c>
    </row>
    <row r="685" spans="19:21" x14ac:dyDescent="0.25">
      <c r="S685" s="11">
        <v>667</v>
      </c>
      <c r="T685" s="4">
        <v>79.524461037345674</v>
      </c>
      <c r="U685" s="7">
        <v>0.29413280776803363</v>
      </c>
    </row>
    <row r="686" spans="19:21" x14ac:dyDescent="0.25">
      <c r="S686" s="11">
        <v>668</v>
      </c>
      <c r="T686" s="4">
        <v>58.134049928628741</v>
      </c>
      <c r="U686" s="7">
        <v>-5.3961758687896877E-2</v>
      </c>
    </row>
    <row r="687" spans="19:21" x14ac:dyDescent="0.25">
      <c r="S687" s="11">
        <v>669</v>
      </c>
      <c r="T687" s="4">
        <v>71.319848906439304</v>
      </c>
      <c r="U687" s="7">
        <v>0.16061593012919939</v>
      </c>
    </row>
    <row r="688" spans="19:21" x14ac:dyDescent="0.25">
      <c r="S688" s="11">
        <v>670</v>
      </c>
      <c r="T688" s="4">
        <v>71.627021195767611</v>
      </c>
      <c r="U688" s="7">
        <v>0.1656146655128985</v>
      </c>
    </row>
    <row r="689" spans="19:21" x14ac:dyDescent="0.25">
      <c r="S689" s="11">
        <v>671</v>
      </c>
      <c r="T689" s="4">
        <v>64.913181468341193</v>
      </c>
      <c r="U689" s="7">
        <v>5.6357713073087012E-2</v>
      </c>
    </row>
    <row r="690" spans="19:21" x14ac:dyDescent="0.25">
      <c r="S690" s="11">
        <v>672</v>
      </c>
      <c r="T690" s="4">
        <v>65.798789356225484</v>
      </c>
      <c r="U690" s="7">
        <v>7.0769558278689582E-2</v>
      </c>
    </row>
    <row r="691" spans="19:21" x14ac:dyDescent="0.25">
      <c r="S691" s="11">
        <v>673</v>
      </c>
      <c r="T691" s="4">
        <v>79.69830537482359</v>
      </c>
      <c r="U691" s="7">
        <v>0.29696184499306089</v>
      </c>
    </row>
    <row r="692" spans="19:21" x14ac:dyDescent="0.25">
      <c r="S692" s="11">
        <v>674</v>
      </c>
      <c r="T692" s="4">
        <v>81.114792379230792</v>
      </c>
      <c r="U692" s="7">
        <v>0.32001289469862959</v>
      </c>
    </row>
    <row r="693" spans="19:21" x14ac:dyDescent="0.25">
      <c r="S693" s="11">
        <v>675</v>
      </c>
      <c r="T693" s="4">
        <v>70.737084482817124</v>
      </c>
      <c r="U693" s="7">
        <v>0.15113237563575455</v>
      </c>
    </row>
    <row r="694" spans="19:21" x14ac:dyDescent="0.25">
      <c r="S694" s="11">
        <v>676</v>
      </c>
      <c r="T694" s="4">
        <v>77.670006105992712</v>
      </c>
      <c r="U694" s="7">
        <v>0.26395453386481216</v>
      </c>
    </row>
    <row r="695" spans="19:21" x14ac:dyDescent="0.25">
      <c r="S695" s="11">
        <v>677</v>
      </c>
      <c r="T695" s="4">
        <v>64.676818660504992</v>
      </c>
      <c r="U695" s="7">
        <v>5.2511288210008056E-2</v>
      </c>
    </row>
    <row r="696" spans="19:21" x14ac:dyDescent="0.25">
      <c r="S696" s="11">
        <v>678</v>
      </c>
      <c r="T696" s="4">
        <v>80.10280617430503</v>
      </c>
      <c r="U696" s="7">
        <v>0.30354444547282378</v>
      </c>
    </row>
    <row r="697" spans="19:21" x14ac:dyDescent="0.25">
      <c r="S697" s="11">
        <v>679</v>
      </c>
      <c r="T697" s="4">
        <v>90.437054752506171</v>
      </c>
      <c r="U697" s="7">
        <v>0.4717177339708083</v>
      </c>
    </row>
    <row r="698" spans="19:21" x14ac:dyDescent="0.25">
      <c r="S698" s="11">
        <v>680</v>
      </c>
      <c r="T698" s="4">
        <v>61.994961657280257</v>
      </c>
      <c r="U698" s="7">
        <v>8.8683752201832444E-3</v>
      </c>
    </row>
    <row r="699" spans="19:21" x14ac:dyDescent="0.25">
      <c r="S699" s="11">
        <v>681</v>
      </c>
      <c r="T699" s="4">
        <v>80.85465497657006</v>
      </c>
      <c r="U699" s="7">
        <v>0.31577957651049715</v>
      </c>
    </row>
    <row r="700" spans="19:21" x14ac:dyDescent="0.25">
      <c r="S700" s="11">
        <v>682</v>
      </c>
      <c r="T700" s="4">
        <v>83.398892271199031</v>
      </c>
      <c r="U700" s="7">
        <v>0.35718294989746169</v>
      </c>
    </row>
    <row r="701" spans="19:21" x14ac:dyDescent="0.25">
      <c r="S701" s="11">
        <v>683</v>
      </c>
      <c r="T701" s="4">
        <v>71.467249783467693</v>
      </c>
      <c r="U701" s="7">
        <v>0.16301464252998676</v>
      </c>
    </row>
    <row r="702" spans="19:21" x14ac:dyDescent="0.25">
      <c r="S702" s="11">
        <v>684</v>
      </c>
      <c r="T702" s="4">
        <v>70.970356837639542</v>
      </c>
      <c r="U702" s="7">
        <v>0.15492850834238459</v>
      </c>
    </row>
    <row r="703" spans="19:21" x14ac:dyDescent="0.25">
      <c r="S703" s="11">
        <v>685</v>
      </c>
      <c r="T703" s="4">
        <v>71.335448700545669</v>
      </c>
      <c r="U703" s="7">
        <v>0.16086979170944948</v>
      </c>
    </row>
    <row r="704" spans="19:21" x14ac:dyDescent="0.25">
      <c r="S704" s="11">
        <v>686</v>
      </c>
      <c r="T704" s="4">
        <v>66.630701162340372</v>
      </c>
      <c r="U704" s="7">
        <v>8.4307586042967841E-2</v>
      </c>
    </row>
    <row r="705" spans="19:21" x14ac:dyDescent="0.25">
      <c r="S705" s="11">
        <v>687</v>
      </c>
      <c r="T705" s="4">
        <v>91.341136437411535</v>
      </c>
      <c r="U705" s="7">
        <v>0.48643021053558222</v>
      </c>
    </row>
    <row r="706" spans="19:21" x14ac:dyDescent="0.25">
      <c r="S706" s="11">
        <v>688</v>
      </c>
      <c r="T706" s="4">
        <v>73.226216467820961</v>
      </c>
      <c r="U706" s="7">
        <v>0.19163899866266809</v>
      </c>
    </row>
    <row r="707" spans="19:21" x14ac:dyDescent="0.25">
      <c r="S707" s="11">
        <v>689</v>
      </c>
      <c r="T707" s="4">
        <v>79.506528675478961</v>
      </c>
      <c r="U707" s="7">
        <v>0.29384098739591469</v>
      </c>
    </row>
    <row r="708" spans="19:21" x14ac:dyDescent="0.25">
      <c r="S708" s="11">
        <v>690</v>
      </c>
      <c r="T708" s="4">
        <v>55.866202376902905</v>
      </c>
      <c r="U708" s="7">
        <v>-9.0867333166755104E-2</v>
      </c>
    </row>
    <row r="709" spans="19:21" x14ac:dyDescent="0.25">
      <c r="S709" s="11">
        <v>691</v>
      </c>
      <c r="T709" s="4">
        <v>103.93410909930658</v>
      </c>
      <c r="U709" s="7">
        <v>0.69136060373159602</v>
      </c>
    </row>
    <row r="710" spans="19:21" x14ac:dyDescent="0.25">
      <c r="S710" s="11">
        <v>692</v>
      </c>
      <c r="T710" s="4">
        <v>68.185344582046667</v>
      </c>
      <c r="U710" s="7">
        <v>0.10960690939050721</v>
      </c>
    </row>
    <row r="711" spans="19:21" x14ac:dyDescent="0.25">
      <c r="S711" s="11">
        <v>693</v>
      </c>
      <c r="T711" s="4">
        <v>94.668702647743316</v>
      </c>
      <c r="U711" s="7">
        <v>0.54058100321795455</v>
      </c>
    </row>
    <row r="712" spans="19:21" x14ac:dyDescent="0.25">
      <c r="S712" s="11">
        <v>694</v>
      </c>
      <c r="T712" s="4">
        <v>68.015392597410695</v>
      </c>
      <c r="U712" s="7">
        <v>0.10684121395298107</v>
      </c>
    </row>
    <row r="713" spans="19:21" x14ac:dyDescent="0.25">
      <c r="S713" s="11">
        <v>695</v>
      </c>
      <c r="T713" s="4">
        <v>59.093796516525572</v>
      </c>
      <c r="U713" s="7">
        <v>-3.8343425280299881E-2</v>
      </c>
    </row>
    <row r="714" spans="19:21" x14ac:dyDescent="0.25">
      <c r="S714" s="11">
        <v>696</v>
      </c>
      <c r="T714" s="4">
        <v>65.519879382685815</v>
      </c>
      <c r="U714" s="7">
        <v>6.6230746666978257E-2</v>
      </c>
    </row>
    <row r="715" spans="19:21" x14ac:dyDescent="0.25">
      <c r="S715" s="11">
        <v>697</v>
      </c>
      <c r="T715" s="4">
        <v>83.507589239765778</v>
      </c>
      <c r="U715" s="7">
        <v>0.35895181838512236</v>
      </c>
    </row>
    <row r="716" spans="19:21" x14ac:dyDescent="0.25">
      <c r="S716" s="11">
        <v>698</v>
      </c>
      <c r="T716" s="4">
        <v>73.055818647116666</v>
      </c>
      <c r="U716" s="7">
        <v>0.18886604795958761</v>
      </c>
    </row>
    <row r="717" spans="19:21" x14ac:dyDescent="0.25">
      <c r="S717" s="11">
        <v>699</v>
      </c>
      <c r="T717" s="4">
        <v>71.93229952930507</v>
      </c>
      <c r="U717" s="7">
        <v>0.17058257980968383</v>
      </c>
    </row>
    <row r="718" spans="19:21" x14ac:dyDescent="0.25">
      <c r="S718" s="11">
        <v>700</v>
      </c>
      <c r="T718" s="4">
        <v>77.608661949017517</v>
      </c>
      <c r="U718" s="7">
        <v>0.26295625628995145</v>
      </c>
    </row>
    <row r="719" spans="19:21" x14ac:dyDescent="0.25">
      <c r="S719" s="11">
        <v>701</v>
      </c>
      <c r="T719" s="4">
        <v>98.454202345145376</v>
      </c>
      <c r="U719" s="7">
        <v>0.60218392750439986</v>
      </c>
    </row>
    <row r="720" spans="19:21" x14ac:dyDescent="0.25">
      <c r="S720" s="11">
        <v>702</v>
      </c>
      <c r="T720" s="4">
        <v>79.717249151333007</v>
      </c>
      <c r="U720" s="7">
        <v>0.29727012451314905</v>
      </c>
    </row>
    <row r="721" spans="19:21" x14ac:dyDescent="0.25">
      <c r="S721" s="11">
        <v>703</v>
      </c>
      <c r="T721" s="4">
        <v>80.152800459906018</v>
      </c>
      <c r="U721" s="7">
        <v>0.30435802213028507</v>
      </c>
    </row>
    <row r="722" spans="19:21" x14ac:dyDescent="0.25">
      <c r="S722" s="11">
        <v>704</v>
      </c>
      <c r="T722" s="4">
        <v>83.25162986493531</v>
      </c>
      <c r="U722" s="7">
        <v>0.35478649088584713</v>
      </c>
    </row>
    <row r="723" spans="19:21" x14ac:dyDescent="0.25">
      <c r="S723" s="11">
        <v>705</v>
      </c>
      <c r="T723" s="4">
        <v>60.337725920792501</v>
      </c>
      <c r="U723" s="7">
        <v>-1.8100473217371849E-2</v>
      </c>
    </row>
    <row r="724" spans="19:21" x14ac:dyDescent="0.25">
      <c r="S724" s="11">
        <v>706</v>
      </c>
      <c r="T724" s="4">
        <v>91.232079272000334</v>
      </c>
      <c r="U724" s="7">
        <v>0.48465548042311357</v>
      </c>
    </row>
    <row r="725" spans="19:21" x14ac:dyDescent="0.25">
      <c r="S725" s="11">
        <v>707</v>
      </c>
      <c r="T725" s="4">
        <v>87.36874888979645</v>
      </c>
      <c r="U725" s="7">
        <v>0.42178598681523916</v>
      </c>
    </row>
    <row r="726" spans="19:21" x14ac:dyDescent="0.25">
      <c r="S726" s="11">
        <v>708</v>
      </c>
      <c r="T726" s="4">
        <v>81.226461791748008</v>
      </c>
      <c r="U726" s="7">
        <v>0.321830134934874</v>
      </c>
    </row>
    <row r="727" spans="19:21" x14ac:dyDescent="0.25">
      <c r="S727" s="11">
        <v>709</v>
      </c>
      <c r="T727" s="4">
        <v>99.251034753145944</v>
      </c>
      <c r="U727" s="7">
        <v>0.61515109443687455</v>
      </c>
    </row>
    <row r="728" spans="19:21" x14ac:dyDescent="0.25">
      <c r="S728" s="11">
        <v>710</v>
      </c>
      <c r="T728" s="4">
        <v>60.627283291814102</v>
      </c>
      <c r="U728" s="7">
        <v>-1.3388392321983744E-2</v>
      </c>
    </row>
    <row r="729" spans="19:21" x14ac:dyDescent="0.25">
      <c r="S729" s="11">
        <v>711</v>
      </c>
      <c r="T729" s="4">
        <v>69.087159391288452</v>
      </c>
      <c r="U729" s="7">
        <v>0.12428249619672016</v>
      </c>
    </row>
    <row r="730" spans="19:21" x14ac:dyDescent="0.25">
      <c r="S730" s="11">
        <v>712</v>
      </c>
      <c r="T730" s="4">
        <v>79.009664793987639</v>
      </c>
      <c r="U730" s="7">
        <v>0.28575532618368804</v>
      </c>
    </row>
    <row r="731" spans="19:21" x14ac:dyDescent="0.25">
      <c r="S731" s="11">
        <v>713</v>
      </c>
      <c r="T731" s="4">
        <v>74.400831905655764</v>
      </c>
      <c r="U731" s="7">
        <v>0.21075397730928813</v>
      </c>
    </row>
    <row r="732" spans="19:21" x14ac:dyDescent="0.25">
      <c r="S732" s="11">
        <v>714</v>
      </c>
      <c r="T732" s="4">
        <v>74.755091264528318</v>
      </c>
      <c r="U732" s="7">
        <v>0.21651897908101403</v>
      </c>
    </row>
    <row r="733" spans="19:21" x14ac:dyDescent="0.25">
      <c r="S733" s="11">
        <v>715</v>
      </c>
      <c r="T733" s="4">
        <v>77.161826745593814</v>
      </c>
      <c r="U733" s="7">
        <v>0.25568473141731185</v>
      </c>
    </row>
    <row r="734" spans="19:21" x14ac:dyDescent="0.25">
      <c r="S734" s="11">
        <v>716</v>
      </c>
      <c r="T734" s="4">
        <v>108.29297815970803</v>
      </c>
      <c r="U734" s="7">
        <v>0.76229419299768963</v>
      </c>
    </row>
    <row r="735" spans="19:21" x14ac:dyDescent="0.25">
      <c r="S735" s="11">
        <v>717</v>
      </c>
      <c r="T735" s="4">
        <v>80.565272723222208</v>
      </c>
      <c r="U735" s="7">
        <v>0.31107034537383571</v>
      </c>
    </row>
    <row r="736" spans="19:21" x14ac:dyDescent="0.25">
      <c r="S736" s="11">
        <v>718</v>
      </c>
      <c r="T736" s="4">
        <v>65.624708630927174</v>
      </c>
      <c r="U736" s="7">
        <v>6.7936674221760196E-2</v>
      </c>
    </row>
    <row r="737" spans="19:21" x14ac:dyDescent="0.25">
      <c r="S737" s="11">
        <v>719</v>
      </c>
      <c r="T737" s="4">
        <v>80.563927885076424</v>
      </c>
      <c r="U737" s="7">
        <v>0.31104846029416477</v>
      </c>
    </row>
    <row r="738" spans="19:21" x14ac:dyDescent="0.25">
      <c r="S738" s="11">
        <v>720</v>
      </c>
      <c r="T738" s="4">
        <v>77.313256280770702</v>
      </c>
      <c r="U738" s="7">
        <v>0.25814900375542216</v>
      </c>
    </row>
    <row r="739" spans="19:21" x14ac:dyDescent="0.25">
      <c r="S739" s="11">
        <v>721</v>
      </c>
      <c r="T739" s="4">
        <v>60.283203537842951</v>
      </c>
      <c r="U739" s="7">
        <v>-1.8987737382539449E-2</v>
      </c>
    </row>
    <row r="740" spans="19:21" x14ac:dyDescent="0.25">
      <c r="S740" s="11">
        <v>722</v>
      </c>
      <c r="T740" s="4">
        <v>87.229412653321575</v>
      </c>
      <c r="U740" s="7">
        <v>0.41951851347960245</v>
      </c>
    </row>
    <row r="741" spans="19:21" x14ac:dyDescent="0.25">
      <c r="S741" s="11">
        <v>723</v>
      </c>
      <c r="T741" s="4">
        <v>83.288644268798777</v>
      </c>
      <c r="U741" s="7">
        <v>0.35538884082666833</v>
      </c>
    </row>
    <row r="742" spans="19:21" x14ac:dyDescent="0.25">
      <c r="S742" s="11">
        <v>724</v>
      </c>
      <c r="T742" s="4">
        <v>61.262748634202339</v>
      </c>
      <c r="U742" s="7">
        <v>-3.0472150658692465E-3</v>
      </c>
    </row>
    <row r="743" spans="19:21" x14ac:dyDescent="0.25">
      <c r="S743" s="11">
        <v>725</v>
      </c>
      <c r="T743" s="4">
        <v>102.09978288321183</v>
      </c>
      <c r="U743" s="7">
        <v>0.66150989232240565</v>
      </c>
    </row>
    <row r="744" spans="19:21" x14ac:dyDescent="0.25">
      <c r="S744" s="11">
        <v>726</v>
      </c>
      <c r="T744" s="4">
        <v>76.284258670017394</v>
      </c>
      <c r="U744" s="7">
        <v>0.24140372123706078</v>
      </c>
    </row>
    <row r="745" spans="19:21" x14ac:dyDescent="0.25">
      <c r="S745" s="11">
        <v>727</v>
      </c>
      <c r="T745" s="4">
        <v>74.470142242127736</v>
      </c>
      <c r="U745" s="7">
        <v>0.21188189165382809</v>
      </c>
    </row>
    <row r="746" spans="19:21" x14ac:dyDescent="0.25">
      <c r="S746" s="11">
        <v>728</v>
      </c>
      <c r="T746" s="4">
        <v>72.470893586575983</v>
      </c>
      <c r="U746" s="7">
        <v>0.17934733257243263</v>
      </c>
    </row>
    <row r="747" spans="19:21" x14ac:dyDescent="0.25">
      <c r="S747" s="11">
        <v>729</v>
      </c>
      <c r="T747" s="4">
        <v>89.415931210448051</v>
      </c>
      <c r="U747" s="7">
        <v>0.45510058926685182</v>
      </c>
    </row>
    <row r="748" spans="19:21" x14ac:dyDescent="0.25">
      <c r="S748" s="11">
        <v>730</v>
      </c>
      <c r="T748" s="4">
        <v>71.994605910704195</v>
      </c>
      <c r="U748" s="7">
        <v>0.17159651604075177</v>
      </c>
    </row>
    <row r="749" spans="19:21" x14ac:dyDescent="0.25">
      <c r="S749" s="11">
        <v>731</v>
      </c>
      <c r="T749" s="4">
        <v>81.068588485362255</v>
      </c>
      <c r="U749" s="7">
        <v>0.31926100057546392</v>
      </c>
    </row>
    <row r="750" spans="19:21" x14ac:dyDescent="0.25">
      <c r="S750" s="11">
        <v>732</v>
      </c>
      <c r="T750" s="4">
        <v>71.059631549148492</v>
      </c>
      <c r="U750" s="7">
        <v>0.15638131080794926</v>
      </c>
    </row>
    <row r="751" spans="19:21" x14ac:dyDescent="0.25">
      <c r="S751" s="11">
        <v>733</v>
      </c>
      <c r="T751" s="4">
        <v>88.835943703606276</v>
      </c>
      <c r="U751" s="7">
        <v>0.44566222463150962</v>
      </c>
    </row>
    <row r="752" spans="19:21" x14ac:dyDescent="0.25">
      <c r="S752" s="11">
        <v>734</v>
      </c>
      <c r="T752" s="4">
        <v>67.903737957863413</v>
      </c>
      <c r="U752" s="7">
        <v>0.10502421412308238</v>
      </c>
    </row>
    <row r="753" spans="19:21" x14ac:dyDescent="0.25">
      <c r="S753" s="11">
        <v>735</v>
      </c>
      <c r="T753" s="4">
        <v>108.59625955694229</v>
      </c>
      <c r="U753" s="7">
        <v>0.76722961036521209</v>
      </c>
    </row>
    <row r="754" spans="19:21" x14ac:dyDescent="0.25">
      <c r="S754" s="11">
        <v>736</v>
      </c>
      <c r="T754" s="4">
        <v>64.007822427811703</v>
      </c>
      <c r="U754" s="7">
        <v>4.1624449598237634E-2</v>
      </c>
    </row>
    <row r="755" spans="19:21" x14ac:dyDescent="0.25">
      <c r="S755" s="11">
        <v>737</v>
      </c>
      <c r="T755" s="4">
        <v>62.780485798987975</v>
      </c>
      <c r="U755" s="7">
        <v>2.1651518291097904E-2</v>
      </c>
    </row>
    <row r="756" spans="19:21" x14ac:dyDescent="0.25">
      <c r="S756" s="11">
        <v>738</v>
      </c>
      <c r="T756" s="4">
        <v>64.977685100043175</v>
      </c>
      <c r="U756" s="7">
        <v>5.7407406021857899E-2</v>
      </c>
    </row>
    <row r="757" spans="19:21" x14ac:dyDescent="0.25">
      <c r="S757" s="11">
        <v>739</v>
      </c>
      <c r="T757" s="4">
        <v>63.002640415741794</v>
      </c>
      <c r="U757" s="7">
        <v>2.5266727676839462E-2</v>
      </c>
    </row>
    <row r="758" spans="19:21" x14ac:dyDescent="0.25">
      <c r="S758" s="11">
        <v>740</v>
      </c>
      <c r="T758" s="4">
        <v>70.500227379567818</v>
      </c>
      <c r="U758" s="7">
        <v>0.14727790690915898</v>
      </c>
    </row>
    <row r="759" spans="19:21" x14ac:dyDescent="0.25">
      <c r="S759" s="11">
        <v>741</v>
      </c>
      <c r="T759" s="4">
        <v>61.3010139279966</v>
      </c>
      <c r="U759" s="7">
        <v>-2.4245089016013965E-3</v>
      </c>
    </row>
    <row r="760" spans="19:21" x14ac:dyDescent="0.25">
      <c r="S760" s="11">
        <v>742</v>
      </c>
      <c r="T760" s="4">
        <v>87.81594152103078</v>
      </c>
      <c r="U760" s="7">
        <v>0.42906332825111115</v>
      </c>
    </row>
    <row r="761" spans="19:21" x14ac:dyDescent="0.25">
      <c r="S761" s="11">
        <v>743</v>
      </c>
      <c r="T761" s="4">
        <v>65.502376416212215</v>
      </c>
      <c r="U761" s="7">
        <v>6.5945914014844842E-2</v>
      </c>
    </row>
    <row r="762" spans="19:21" x14ac:dyDescent="0.25">
      <c r="S762" s="11">
        <v>744</v>
      </c>
      <c r="T762" s="4">
        <v>63.604147754061707</v>
      </c>
      <c r="U762" s="7">
        <v>3.5055292987171693E-2</v>
      </c>
    </row>
    <row r="763" spans="19:21" x14ac:dyDescent="0.25">
      <c r="S763" s="11">
        <v>745</v>
      </c>
      <c r="T763" s="4">
        <v>74.316632600120883</v>
      </c>
      <c r="U763" s="7">
        <v>0.20938376891978638</v>
      </c>
    </row>
    <row r="764" spans="19:21" x14ac:dyDescent="0.25">
      <c r="S764" s="11">
        <v>746</v>
      </c>
      <c r="T764" s="4">
        <v>76.775829382350224</v>
      </c>
      <c r="U764" s="7">
        <v>0.24940324462734287</v>
      </c>
    </row>
    <row r="765" spans="19:21" x14ac:dyDescent="0.25">
      <c r="S765" s="11">
        <v>747</v>
      </c>
      <c r="T765" s="4">
        <v>81.311598779695686</v>
      </c>
      <c r="U765" s="7">
        <v>0.32321560259879067</v>
      </c>
    </row>
    <row r="766" spans="19:21" x14ac:dyDescent="0.25">
      <c r="S766" s="11">
        <v>748</v>
      </c>
      <c r="T766" s="4">
        <v>75.082633344484037</v>
      </c>
      <c r="U766" s="7">
        <v>0.22184920007297038</v>
      </c>
    </row>
    <row r="767" spans="19:21" x14ac:dyDescent="0.25">
      <c r="S767" s="11">
        <v>749</v>
      </c>
      <c r="T767" s="4">
        <v>80.047995838012383</v>
      </c>
      <c r="U767" s="7">
        <v>0.30265249532973759</v>
      </c>
    </row>
    <row r="768" spans="19:21" x14ac:dyDescent="0.25">
      <c r="S768" s="11">
        <v>750</v>
      </c>
      <c r="T768" s="4">
        <v>65.539440205427795</v>
      </c>
      <c r="U768" s="7">
        <v>6.6549067622909464E-2</v>
      </c>
    </row>
    <row r="769" spans="19:21" x14ac:dyDescent="0.25">
      <c r="S769" s="11">
        <v>751</v>
      </c>
      <c r="T769" s="4">
        <v>81.783316311015412</v>
      </c>
      <c r="U769" s="7">
        <v>0.33089204737209776</v>
      </c>
    </row>
    <row r="770" spans="19:21" x14ac:dyDescent="0.25">
      <c r="S770" s="11">
        <v>752</v>
      </c>
      <c r="T770" s="4">
        <v>84.001718519433496</v>
      </c>
      <c r="U770" s="7">
        <v>0.36699297834716837</v>
      </c>
    </row>
    <row r="771" spans="19:21" x14ac:dyDescent="0.25">
      <c r="S771" s="11">
        <v>753</v>
      </c>
      <c r="T771" s="4">
        <v>63.050938172486411</v>
      </c>
      <c r="U771" s="7">
        <v>2.6052696053481039E-2</v>
      </c>
    </row>
    <row r="772" spans="19:21" x14ac:dyDescent="0.25">
      <c r="S772" s="11">
        <v>754</v>
      </c>
      <c r="T772" s="4">
        <v>89.285340373295156</v>
      </c>
      <c r="U772" s="7">
        <v>0.45297543325134493</v>
      </c>
    </row>
    <row r="773" spans="19:21" x14ac:dyDescent="0.25">
      <c r="S773" s="11">
        <v>755</v>
      </c>
      <c r="T773" s="4">
        <v>68.260721055155159</v>
      </c>
      <c r="U773" s="7">
        <v>0.11083354036053961</v>
      </c>
    </row>
    <row r="774" spans="19:21" x14ac:dyDescent="0.25">
      <c r="S774" s="11">
        <v>756</v>
      </c>
      <c r="T774" s="4">
        <v>93.959424930613906</v>
      </c>
      <c r="U774" s="7">
        <v>0.52903864817923352</v>
      </c>
    </row>
    <row r="775" spans="19:21" x14ac:dyDescent="0.25">
      <c r="S775" s="11">
        <v>757</v>
      </c>
      <c r="T775" s="4">
        <v>78.92063255389894</v>
      </c>
      <c r="U775" s="7">
        <v>0.28430646955083705</v>
      </c>
    </row>
    <row r="776" spans="19:21" x14ac:dyDescent="0.25">
      <c r="S776" s="11">
        <v>758</v>
      </c>
      <c r="T776" s="4">
        <v>77.909597901407992</v>
      </c>
      <c r="U776" s="7">
        <v>0.26785350531176544</v>
      </c>
    </row>
    <row r="777" spans="19:21" x14ac:dyDescent="0.25">
      <c r="S777" s="11">
        <v>759</v>
      </c>
      <c r="T777" s="4">
        <v>76.969333299716794</v>
      </c>
      <c r="U777" s="7">
        <v>0.25255220992216088</v>
      </c>
    </row>
    <row r="778" spans="19:21" x14ac:dyDescent="0.25">
      <c r="S778" s="11">
        <v>760</v>
      </c>
      <c r="T778" s="4">
        <v>84.239433667836934</v>
      </c>
      <c r="U778" s="7">
        <v>0.37086141037977094</v>
      </c>
    </row>
    <row r="779" spans="19:21" x14ac:dyDescent="0.25">
      <c r="S779" s="11">
        <v>761</v>
      </c>
      <c r="T779" s="4">
        <v>91.66814291693413</v>
      </c>
      <c r="U779" s="7">
        <v>0.49175171549119812</v>
      </c>
    </row>
    <row r="780" spans="19:21" x14ac:dyDescent="0.25">
      <c r="S780" s="11">
        <v>762</v>
      </c>
      <c r="T780" s="4">
        <v>69.455863066135493</v>
      </c>
      <c r="U780" s="7">
        <v>0.13028255599895022</v>
      </c>
    </row>
    <row r="781" spans="19:21" x14ac:dyDescent="0.25">
      <c r="S781" s="11">
        <v>763</v>
      </c>
      <c r="T781" s="4">
        <v>80.367440192579409</v>
      </c>
      <c r="U781" s="7">
        <v>0.30785093885401804</v>
      </c>
    </row>
    <row r="782" spans="19:21" x14ac:dyDescent="0.25">
      <c r="S782" s="11">
        <v>764</v>
      </c>
      <c r="T782" s="4">
        <v>70.199075260246914</v>
      </c>
      <c r="U782" s="7">
        <v>0.1423771401179319</v>
      </c>
    </row>
    <row r="783" spans="19:21" x14ac:dyDescent="0.25">
      <c r="S783" s="11">
        <v>765</v>
      </c>
      <c r="T783" s="4">
        <v>93.433796697774753</v>
      </c>
      <c r="U783" s="7">
        <v>0.52048489337306347</v>
      </c>
    </row>
    <row r="784" spans="19:21" x14ac:dyDescent="0.25">
      <c r="S784" s="11">
        <v>766</v>
      </c>
      <c r="T784" s="4">
        <v>90.281594601459915</v>
      </c>
      <c r="U784" s="7">
        <v>0.46918786983661365</v>
      </c>
    </row>
    <row r="785" spans="19:21" x14ac:dyDescent="0.25">
      <c r="S785" s="11">
        <v>767</v>
      </c>
      <c r="T785" s="4">
        <v>62.619889556500716</v>
      </c>
      <c r="U785" s="7">
        <v>1.9038072522387539E-2</v>
      </c>
    </row>
    <row r="786" spans="19:21" x14ac:dyDescent="0.25">
      <c r="S786" s="11">
        <v>768</v>
      </c>
      <c r="T786" s="4">
        <v>77.452709068521401</v>
      </c>
      <c r="U786" s="7">
        <v>0.26041837377577548</v>
      </c>
    </row>
    <row r="787" spans="19:21" x14ac:dyDescent="0.25">
      <c r="S787" s="11">
        <v>769</v>
      </c>
      <c r="T787" s="4">
        <v>92.954529205515939</v>
      </c>
      <c r="U787" s="7">
        <v>0.51268558511824147</v>
      </c>
    </row>
    <row r="788" spans="19:21" x14ac:dyDescent="0.25">
      <c r="S788" s="11">
        <v>770</v>
      </c>
      <c r="T788" s="4">
        <v>68.067050316633981</v>
      </c>
      <c r="U788" s="7">
        <v>0.10768186031951155</v>
      </c>
    </row>
    <row r="789" spans="19:21" x14ac:dyDescent="0.25">
      <c r="S789" s="11">
        <v>771</v>
      </c>
      <c r="T789" s="4">
        <v>84.985223129706014</v>
      </c>
      <c r="U789" s="7">
        <v>0.38299793538984561</v>
      </c>
    </row>
    <row r="790" spans="19:21" x14ac:dyDescent="0.25">
      <c r="S790" s="11">
        <v>772</v>
      </c>
      <c r="T790" s="4">
        <v>111.21017039152525</v>
      </c>
      <c r="U790" s="7">
        <v>0.80976680864971917</v>
      </c>
    </row>
    <row r="791" spans="19:21" x14ac:dyDescent="0.25">
      <c r="S791" s="11">
        <v>773</v>
      </c>
      <c r="T791" s="4">
        <v>72.423068063201654</v>
      </c>
      <c r="U791" s="7">
        <v>0.17856904903501469</v>
      </c>
    </row>
    <row r="792" spans="19:21" x14ac:dyDescent="0.25">
      <c r="S792" s="11">
        <v>774</v>
      </c>
      <c r="T792" s="4">
        <v>96.047251395286892</v>
      </c>
      <c r="U792" s="7">
        <v>0.56301466875975414</v>
      </c>
    </row>
    <row r="793" spans="19:21" x14ac:dyDescent="0.25">
      <c r="S793" s="11">
        <v>775</v>
      </c>
      <c r="T793" s="4">
        <v>73.10465070677391</v>
      </c>
      <c r="U793" s="7">
        <v>0.18966071125750861</v>
      </c>
    </row>
    <row r="794" spans="19:21" x14ac:dyDescent="0.25">
      <c r="S794" s="11">
        <v>776</v>
      </c>
      <c r="T794" s="4">
        <v>80.445154882369991</v>
      </c>
      <c r="U794" s="7">
        <v>0.30911562054304298</v>
      </c>
    </row>
    <row r="795" spans="19:21" x14ac:dyDescent="0.25">
      <c r="S795" s="11">
        <v>777</v>
      </c>
      <c r="T795" s="4">
        <v>64.747658159773238</v>
      </c>
      <c r="U795" s="7">
        <v>5.3664087221696244E-2</v>
      </c>
    </row>
    <row r="796" spans="19:21" x14ac:dyDescent="0.25">
      <c r="S796" s="11">
        <v>778</v>
      </c>
      <c r="T796" s="4">
        <v>79.554306113784691</v>
      </c>
      <c r="U796" s="7">
        <v>0.2946184884261136</v>
      </c>
    </row>
    <row r="797" spans="19:21" x14ac:dyDescent="0.25">
      <c r="S797" s="11">
        <v>779</v>
      </c>
      <c r="T797" s="4">
        <v>68.468648434286251</v>
      </c>
      <c r="U797" s="7">
        <v>0.11421722431710735</v>
      </c>
    </row>
    <row r="798" spans="19:21" x14ac:dyDescent="0.25">
      <c r="S798" s="11">
        <v>780</v>
      </c>
      <c r="T798" s="4">
        <v>71.638673234055901</v>
      </c>
      <c r="U798" s="7">
        <v>0.16580428371124323</v>
      </c>
    </row>
    <row r="799" spans="19:21" x14ac:dyDescent="0.25">
      <c r="S799" s="11">
        <v>781</v>
      </c>
      <c r="T799" s="4">
        <v>88.864592304951373</v>
      </c>
      <c r="U799" s="7">
        <v>0.44612843458016882</v>
      </c>
    </row>
    <row r="800" spans="19:21" x14ac:dyDescent="0.25">
      <c r="S800" s="11">
        <v>782</v>
      </c>
      <c r="T800" s="4">
        <v>84.813884235298559</v>
      </c>
      <c r="U800" s="7">
        <v>0.38020967022454921</v>
      </c>
    </row>
    <row r="801" spans="19:21" x14ac:dyDescent="0.25">
      <c r="S801" s="11">
        <v>783</v>
      </c>
      <c r="T801" s="4">
        <v>90.105201710791249</v>
      </c>
      <c r="U801" s="7">
        <v>0.46631735900392579</v>
      </c>
    </row>
    <row r="802" spans="19:21" x14ac:dyDescent="0.25">
      <c r="S802" s="11">
        <v>784</v>
      </c>
      <c r="T802" s="4">
        <v>79.536504483285952</v>
      </c>
      <c r="U802" s="7">
        <v>0.29432879549692359</v>
      </c>
    </row>
    <row r="803" spans="19:21" x14ac:dyDescent="0.25">
      <c r="S803" s="11">
        <v>785</v>
      </c>
      <c r="T803" s="4">
        <v>64.191683873186008</v>
      </c>
      <c r="U803" s="7">
        <v>4.4616499156810541E-2</v>
      </c>
    </row>
    <row r="804" spans="19:21" x14ac:dyDescent="0.25">
      <c r="S804" s="11">
        <v>786</v>
      </c>
      <c r="T804" s="4">
        <v>67.778547362401213</v>
      </c>
      <c r="U804" s="7">
        <v>0.10298693836291628</v>
      </c>
    </row>
    <row r="805" spans="19:21" x14ac:dyDescent="0.25">
      <c r="S805" s="11">
        <v>787</v>
      </c>
      <c r="T805" s="4">
        <v>99.259255732430958</v>
      </c>
      <c r="U805" s="7">
        <v>0.61528487766364459</v>
      </c>
    </row>
    <row r="806" spans="19:21" x14ac:dyDescent="0.25">
      <c r="S806" s="11">
        <v>788</v>
      </c>
      <c r="T806" s="4">
        <v>72.9669625679483</v>
      </c>
      <c r="U806" s="7">
        <v>0.18742005806262485</v>
      </c>
    </row>
    <row r="807" spans="19:21" x14ac:dyDescent="0.25">
      <c r="S807" s="11">
        <v>789</v>
      </c>
      <c r="T807" s="4">
        <v>78.836220359796783</v>
      </c>
      <c r="U807" s="7">
        <v>0.28293279674201433</v>
      </c>
    </row>
    <row r="808" spans="19:21" x14ac:dyDescent="0.25">
      <c r="S808" s="11">
        <v>790</v>
      </c>
      <c r="T808" s="4">
        <v>74.202819417725365</v>
      </c>
      <c r="U808" s="7">
        <v>0.20753164227380583</v>
      </c>
    </row>
    <row r="809" spans="19:21" x14ac:dyDescent="0.25">
      <c r="S809" s="11">
        <v>791</v>
      </c>
      <c r="T809" s="4">
        <v>70.38765489742471</v>
      </c>
      <c r="U809" s="7">
        <v>0.14544597066598386</v>
      </c>
    </row>
    <row r="810" spans="19:21" x14ac:dyDescent="0.25">
      <c r="S810" s="11">
        <v>792</v>
      </c>
      <c r="T810" s="4">
        <v>63.022642718408008</v>
      </c>
      <c r="U810" s="7">
        <v>2.5592233009080534E-2</v>
      </c>
    </row>
    <row r="811" spans="19:21" x14ac:dyDescent="0.25">
      <c r="S811" s="11">
        <v>793</v>
      </c>
      <c r="T811" s="4">
        <v>72.704775389757373</v>
      </c>
      <c r="U811" s="7">
        <v>0.18315338307172291</v>
      </c>
    </row>
    <row r="812" spans="19:21" x14ac:dyDescent="0.25">
      <c r="S812" s="11">
        <v>794</v>
      </c>
      <c r="T812" s="4">
        <v>56.115887496034766</v>
      </c>
      <c r="U812" s="7">
        <v>-8.6804109096261017E-2</v>
      </c>
    </row>
    <row r="813" spans="19:21" x14ac:dyDescent="0.25">
      <c r="S813" s="11">
        <v>795</v>
      </c>
      <c r="T813" s="4">
        <v>70.775264040926942</v>
      </c>
      <c r="U813" s="7">
        <v>0.15175368658953525</v>
      </c>
    </row>
    <row r="814" spans="19:21" x14ac:dyDescent="0.25">
      <c r="S814" s="11">
        <v>796</v>
      </c>
      <c r="T814" s="4">
        <v>100.01071059480593</v>
      </c>
      <c r="U814" s="7">
        <v>0.62751359796266759</v>
      </c>
    </row>
    <row r="815" spans="19:21" x14ac:dyDescent="0.25">
      <c r="S815" s="11">
        <v>797</v>
      </c>
      <c r="T815" s="4">
        <v>66.339739850616937</v>
      </c>
      <c r="U815" s="7">
        <v>7.9572658268786567E-2</v>
      </c>
    </row>
    <row r="816" spans="19:21" x14ac:dyDescent="0.25">
      <c r="S816" s="11">
        <v>798</v>
      </c>
      <c r="T816" s="4">
        <v>77.784514143008224</v>
      </c>
      <c r="U816" s="7">
        <v>0.26581796815310366</v>
      </c>
    </row>
    <row r="817" spans="19:21" x14ac:dyDescent="0.25">
      <c r="S817" s="11">
        <v>799</v>
      </c>
      <c r="T817" s="4">
        <v>87.102020899001289</v>
      </c>
      <c r="U817" s="7">
        <v>0.41744541739627805</v>
      </c>
    </row>
    <row r="818" spans="19:21" x14ac:dyDescent="0.25">
      <c r="S818" s="11">
        <v>800</v>
      </c>
      <c r="T818" s="4">
        <v>69.428580996618308</v>
      </c>
      <c r="U818" s="7">
        <v>0.12983858415977712</v>
      </c>
    </row>
    <row r="819" spans="19:21" x14ac:dyDescent="0.25">
      <c r="S819" s="11">
        <v>801</v>
      </c>
      <c r="T819" s="4">
        <v>88.820902439597475</v>
      </c>
      <c r="U819" s="7">
        <v>0.44541745223104101</v>
      </c>
    </row>
    <row r="820" spans="19:21" x14ac:dyDescent="0.25">
      <c r="S820" s="11">
        <v>802</v>
      </c>
      <c r="T820" s="4">
        <v>79.226694032697594</v>
      </c>
      <c r="U820" s="7">
        <v>0.28928712827823588</v>
      </c>
    </row>
    <row r="821" spans="19:21" x14ac:dyDescent="0.25">
      <c r="S821" s="11">
        <v>803</v>
      </c>
      <c r="T821" s="4">
        <v>115.36845639911704</v>
      </c>
      <c r="U821" s="7">
        <v>0.87743623106781166</v>
      </c>
    </row>
    <row r="822" spans="19:21" x14ac:dyDescent="0.25">
      <c r="S822" s="11">
        <v>804</v>
      </c>
      <c r="T822" s="4">
        <v>63.936637332913477</v>
      </c>
      <c r="U822" s="7">
        <v>4.0466026573042768E-2</v>
      </c>
    </row>
    <row r="823" spans="19:21" x14ac:dyDescent="0.25">
      <c r="S823" s="11">
        <v>805</v>
      </c>
      <c r="T823" s="4">
        <v>83.617611231829528</v>
      </c>
      <c r="U823" s="7">
        <v>0.3607422495008874</v>
      </c>
    </row>
    <row r="824" spans="19:21" x14ac:dyDescent="0.25">
      <c r="S824" s="11">
        <v>806</v>
      </c>
      <c r="T824" s="4">
        <v>75.29279226945161</v>
      </c>
      <c r="U824" s="7">
        <v>0.22526919885193819</v>
      </c>
    </row>
    <row r="825" spans="19:21" x14ac:dyDescent="0.25">
      <c r="S825" s="11">
        <v>807</v>
      </c>
      <c r="T825" s="4">
        <v>63.743880782194324</v>
      </c>
      <c r="U825" s="7">
        <v>3.7329223469394934E-2</v>
      </c>
    </row>
    <row r="826" spans="19:21" x14ac:dyDescent="0.25">
      <c r="S826" s="11">
        <v>808</v>
      </c>
      <c r="T826" s="4">
        <v>66.198260444432279</v>
      </c>
      <c r="U826" s="7">
        <v>7.7270308290191547E-2</v>
      </c>
    </row>
    <row r="827" spans="19:21" x14ac:dyDescent="0.25">
      <c r="S827" s="11">
        <v>809</v>
      </c>
      <c r="T827" s="4">
        <v>91.544236529481338</v>
      </c>
      <c r="U827" s="7">
        <v>0.48973533815266612</v>
      </c>
    </row>
    <row r="828" spans="19:21" x14ac:dyDescent="0.25">
      <c r="S828" s="11">
        <v>810</v>
      </c>
      <c r="T828" s="4">
        <v>72.665624383428295</v>
      </c>
      <c r="U828" s="7">
        <v>0.18251626335928872</v>
      </c>
    </row>
    <row r="829" spans="19:21" x14ac:dyDescent="0.25">
      <c r="S829" s="11">
        <v>811</v>
      </c>
      <c r="T829" s="4">
        <v>78.016145112817668</v>
      </c>
      <c r="U829" s="7">
        <v>0.26958738995634923</v>
      </c>
    </row>
    <row r="830" spans="19:21" x14ac:dyDescent="0.25">
      <c r="S830" s="11">
        <v>812</v>
      </c>
      <c r="T830" s="4">
        <v>55.888174355686466</v>
      </c>
      <c r="U830" s="7">
        <v>-9.0509774520968866E-2</v>
      </c>
    </row>
    <row r="831" spans="19:21" x14ac:dyDescent="0.25">
      <c r="S831" s="11">
        <v>813</v>
      </c>
      <c r="T831" s="4">
        <v>74.646325150319143</v>
      </c>
      <c r="U831" s="7">
        <v>0.21474898535913978</v>
      </c>
    </row>
    <row r="832" spans="19:21" x14ac:dyDescent="0.25">
      <c r="S832" s="11">
        <v>814</v>
      </c>
      <c r="T832" s="4">
        <v>74.518303299902314</v>
      </c>
      <c r="U832" s="7">
        <v>0.21266563547440698</v>
      </c>
    </row>
    <row r="833" spans="19:21" x14ac:dyDescent="0.25">
      <c r="S833" s="11">
        <v>815</v>
      </c>
      <c r="T833" s="4">
        <v>73.63021849618238</v>
      </c>
      <c r="U833" s="7">
        <v>0.19821348244397674</v>
      </c>
    </row>
    <row r="834" spans="19:21" x14ac:dyDescent="0.25">
      <c r="S834" s="11">
        <v>816</v>
      </c>
      <c r="T834" s="4">
        <v>68.122804494013408</v>
      </c>
      <c r="U834" s="7">
        <v>0.10858916995953471</v>
      </c>
    </row>
    <row r="835" spans="19:21" x14ac:dyDescent="0.25">
      <c r="S835" s="11">
        <v>817</v>
      </c>
      <c r="T835" s="4">
        <v>61.65703568638115</v>
      </c>
      <c r="U835" s="7">
        <v>3.3691730900105021E-3</v>
      </c>
    </row>
    <row r="836" spans="19:21" x14ac:dyDescent="0.25">
      <c r="S836" s="11">
        <v>818</v>
      </c>
      <c r="T836" s="4">
        <v>75.993287427275064</v>
      </c>
      <c r="U836" s="7">
        <v>0.23666863185150633</v>
      </c>
    </row>
    <row r="837" spans="19:21" x14ac:dyDescent="0.25">
      <c r="S837" s="11">
        <v>819</v>
      </c>
      <c r="T837" s="4">
        <v>70.570154408580493</v>
      </c>
      <c r="U837" s="7">
        <v>0.14841585693377524</v>
      </c>
    </row>
    <row r="838" spans="19:21" x14ac:dyDescent="0.25">
      <c r="S838" s="11">
        <v>820</v>
      </c>
      <c r="T838" s="4">
        <v>78.659016937539576</v>
      </c>
      <c r="U838" s="7">
        <v>0.28004909581024529</v>
      </c>
    </row>
    <row r="839" spans="19:21" x14ac:dyDescent="0.25">
      <c r="S839" s="11">
        <v>821</v>
      </c>
      <c r="T839" s="4">
        <v>81.980835799100177</v>
      </c>
      <c r="U839" s="7">
        <v>0.33410635962734214</v>
      </c>
    </row>
    <row r="840" spans="19:21" x14ac:dyDescent="0.25">
      <c r="S840" s="11">
        <v>822</v>
      </c>
      <c r="T840" s="4">
        <v>71.967629719597895</v>
      </c>
      <c r="U840" s="7">
        <v>0.17115752188116984</v>
      </c>
    </row>
    <row r="841" spans="19:21" x14ac:dyDescent="0.25">
      <c r="S841" s="11">
        <v>823</v>
      </c>
      <c r="T841" s="4">
        <v>73.325082582635019</v>
      </c>
      <c r="U841" s="7">
        <v>0.1932478858036617</v>
      </c>
    </row>
    <row r="842" spans="19:21" x14ac:dyDescent="0.25">
      <c r="S842" s="11">
        <v>824</v>
      </c>
      <c r="T842" s="4">
        <v>91.6888877362355</v>
      </c>
      <c r="U842" s="7">
        <v>0.49208930408845397</v>
      </c>
    </row>
    <row r="843" spans="19:21" x14ac:dyDescent="0.25">
      <c r="S843" s="11">
        <v>825</v>
      </c>
      <c r="T843" s="4">
        <v>67.679443100330687</v>
      </c>
      <c r="U843" s="7">
        <v>0.10137417575802576</v>
      </c>
    </row>
    <row r="844" spans="19:21" x14ac:dyDescent="0.25">
      <c r="S844" s="11">
        <v>826</v>
      </c>
      <c r="T844" s="4">
        <v>96.584909645231008</v>
      </c>
      <c r="U844" s="7">
        <v>0.57176419276209933</v>
      </c>
    </row>
    <row r="845" spans="19:21" x14ac:dyDescent="0.25">
      <c r="S845" s="11">
        <v>827</v>
      </c>
      <c r="T845" s="4">
        <v>79.825052025308295</v>
      </c>
      <c r="U845" s="7">
        <v>0.29902444304814146</v>
      </c>
    </row>
    <row r="846" spans="19:21" x14ac:dyDescent="0.25">
      <c r="S846" s="11">
        <v>828</v>
      </c>
      <c r="T846" s="4">
        <v>61.69318893569104</v>
      </c>
      <c r="U846" s="7">
        <v>3.9575091243455596E-3</v>
      </c>
    </row>
    <row r="847" spans="19:21" x14ac:dyDescent="0.25">
      <c r="S847" s="11">
        <v>829</v>
      </c>
      <c r="T847" s="4">
        <v>83.865991005901634</v>
      </c>
      <c r="U847" s="7">
        <v>0.36478423117822012</v>
      </c>
    </row>
    <row r="848" spans="19:21" x14ac:dyDescent="0.25">
      <c r="S848" s="11">
        <v>830</v>
      </c>
      <c r="T848" s="4">
        <v>94.255174332893446</v>
      </c>
      <c r="U848" s="7">
        <v>0.53385149443276547</v>
      </c>
    </row>
    <row r="849" spans="19:21" x14ac:dyDescent="0.25">
      <c r="S849" s="11">
        <v>831</v>
      </c>
      <c r="T849" s="4">
        <v>72.369120227351061</v>
      </c>
      <c r="U849" s="7">
        <v>0.17769113470058673</v>
      </c>
    </row>
    <row r="850" spans="19:21" x14ac:dyDescent="0.25">
      <c r="S850" s="11">
        <v>832</v>
      </c>
      <c r="T850" s="4">
        <v>64.175169836983301</v>
      </c>
      <c r="U850" s="7">
        <v>4.4347759755627214E-2</v>
      </c>
    </row>
    <row r="851" spans="19:21" x14ac:dyDescent="0.25">
      <c r="S851" s="11">
        <v>833</v>
      </c>
      <c r="T851" s="4">
        <v>79.350334300446661</v>
      </c>
      <c r="U851" s="7">
        <v>0.29129917494624347</v>
      </c>
    </row>
    <row r="852" spans="19:21" x14ac:dyDescent="0.25">
      <c r="S852" s="11">
        <v>834</v>
      </c>
      <c r="T852" s="4">
        <v>81.936810143348225</v>
      </c>
      <c r="U852" s="7">
        <v>0.33338991282910047</v>
      </c>
    </row>
    <row r="853" spans="19:21" x14ac:dyDescent="0.25">
      <c r="S853" s="11">
        <v>835</v>
      </c>
      <c r="T853" s="4">
        <v>91.782822814857312</v>
      </c>
      <c r="U853" s="7">
        <v>0.4936179465395818</v>
      </c>
    </row>
    <row r="854" spans="19:21" x14ac:dyDescent="0.25">
      <c r="S854" s="11">
        <v>836</v>
      </c>
      <c r="T854" s="4">
        <v>75.743160894546648</v>
      </c>
      <c r="U854" s="7">
        <v>0.23259822448407874</v>
      </c>
    </row>
    <row r="855" spans="19:21" x14ac:dyDescent="0.25">
      <c r="S855" s="11">
        <v>837</v>
      </c>
      <c r="T855" s="4">
        <v>69.487026893040834</v>
      </c>
      <c r="U855" s="7">
        <v>0.13078969720164091</v>
      </c>
    </row>
    <row r="856" spans="19:21" x14ac:dyDescent="0.25">
      <c r="S856" s="11">
        <v>838</v>
      </c>
      <c r="T856" s="4">
        <v>74.000885411472012</v>
      </c>
      <c r="U856" s="7">
        <v>0.20424549082948751</v>
      </c>
    </row>
    <row r="857" spans="19:21" x14ac:dyDescent="0.25">
      <c r="S857" s="11">
        <v>839</v>
      </c>
      <c r="T857" s="4">
        <v>85.198579245556544</v>
      </c>
      <c r="U857" s="7">
        <v>0.38646996331255568</v>
      </c>
    </row>
    <row r="858" spans="19:21" x14ac:dyDescent="0.25">
      <c r="S858" s="11">
        <v>840</v>
      </c>
      <c r="T858" s="4">
        <v>69.735850511874403</v>
      </c>
      <c r="U858" s="7">
        <v>0.13483890173920909</v>
      </c>
    </row>
    <row r="859" spans="19:21" x14ac:dyDescent="0.25">
      <c r="S859" s="11">
        <v>841</v>
      </c>
      <c r="T859" s="4">
        <v>74.076347969427417</v>
      </c>
      <c r="U859" s="7">
        <v>0.2054735226920652</v>
      </c>
    </row>
    <row r="860" spans="19:21" x14ac:dyDescent="0.25">
      <c r="S860" s="11">
        <v>842</v>
      </c>
      <c r="T860" s="4">
        <v>55.991205781560197</v>
      </c>
      <c r="U860" s="7">
        <v>-8.8833103636123734E-2</v>
      </c>
    </row>
    <row r="861" spans="19:21" x14ac:dyDescent="0.25">
      <c r="S861" s="11">
        <v>843</v>
      </c>
      <c r="T861" s="4">
        <v>69.064799477014219</v>
      </c>
      <c r="U861" s="7">
        <v>0.12391862452423452</v>
      </c>
    </row>
    <row r="862" spans="19:21" x14ac:dyDescent="0.25">
      <c r="S862" s="11">
        <v>844</v>
      </c>
      <c r="T862" s="4">
        <v>73.773406619166266</v>
      </c>
      <c r="U862" s="7">
        <v>0.20054363904257544</v>
      </c>
    </row>
    <row r="863" spans="19:21" x14ac:dyDescent="0.25">
      <c r="S863" s="11">
        <v>845</v>
      </c>
      <c r="T863" s="4">
        <v>66.062512918512681</v>
      </c>
      <c r="U863" s="7">
        <v>7.5061235451792996E-2</v>
      </c>
    </row>
    <row r="864" spans="19:21" x14ac:dyDescent="0.25">
      <c r="S864" s="11">
        <v>846</v>
      </c>
      <c r="T864" s="4">
        <v>100.20460512009601</v>
      </c>
      <c r="U864" s="7">
        <v>0.63066891977373474</v>
      </c>
    </row>
    <row r="865" spans="19:21" x14ac:dyDescent="0.25">
      <c r="S865" s="11">
        <v>847</v>
      </c>
      <c r="T865" s="4">
        <v>63.298642527358311</v>
      </c>
      <c r="U865" s="7">
        <v>3.0083686368727491E-2</v>
      </c>
    </row>
    <row r="866" spans="19:21" x14ac:dyDescent="0.25">
      <c r="S866" s="11">
        <v>848</v>
      </c>
      <c r="T866" s="4">
        <v>71.466325882500954</v>
      </c>
      <c r="U866" s="7">
        <v>0.1629996075264597</v>
      </c>
    </row>
    <row r="867" spans="19:21" x14ac:dyDescent="0.25">
      <c r="S867" s="11">
        <v>849</v>
      </c>
      <c r="T867" s="4">
        <v>83.081694019969589</v>
      </c>
      <c r="U867" s="7">
        <v>0.35202105809551809</v>
      </c>
    </row>
    <row r="868" spans="19:21" x14ac:dyDescent="0.25">
      <c r="S868" s="11">
        <v>850</v>
      </c>
      <c r="T868" s="4">
        <v>68.728623451193343</v>
      </c>
      <c r="U868" s="7">
        <v>0.11844789993805271</v>
      </c>
    </row>
    <row r="869" spans="19:21" x14ac:dyDescent="0.25">
      <c r="S869" s="11">
        <v>851</v>
      </c>
      <c r="T869" s="4">
        <v>90.619146917362244</v>
      </c>
      <c r="U869" s="7">
        <v>0.47468099133217634</v>
      </c>
    </row>
    <row r="870" spans="19:21" x14ac:dyDescent="0.25">
      <c r="S870" s="11">
        <v>852</v>
      </c>
      <c r="T870" s="4">
        <v>87.034534216433997</v>
      </c>
      <c r="U870" s="7">
        <v>0.41634718008842952</v>
      </c>
    </row>
    <row r="871" spans="19:21" x14ac:dyDescent="0.25">
      <c r="S871" s="11">
        <v>853</v>
      </c>
      <c r="T871" s="4">
        <v>87.103302135508798</v>
      </c>
      <c r="U871" s="7">
        <v>0.41746626746149373</v>
      </c>
    </row>
    <row r="872" spans="19:21" x14ac:dyDescent="0.25">
      <c r="S872" s="11">
        <v>854</v>
      </c>
      <c r="T872" s="4">
        <v>67.011591475139682</v>
      </c>
      <c r="U872" s="7">
        <v>9.0505963793973576E-2</v>
      </c>
    </row>
    <row r="873" spans="19:21" x14ac:dyDescent="0.25">
      <c r="S873" s="11">
        <v>855</v>
      </c>
      <c r="T873" s="4">
        <v>84.443646164450939</v>
      </c>
      <c r="U873" s="7">
        <v>0.37418464059318035</v>
      </c>
    </row>
    <row r="874" spans="19:21" x14ac:dyDescent="0.25">
      <c r="S874" s="11">
        <v>856</v>
      </c>
      <c r="T874" s="4">
        <v>74.055155894040183</v>
      </c>
      <c r="U874" s="7">
        <v>0.20512865572075145</v>
      </c>
    </row>
    <row r="875" spans="19:21" x14ac:dyDescent="0.25">
      <c r="S875" s="11">
        <v>857</v>
      </c>
      <c r="T875" s="4">
        <v>85.571158471899849</v>
      </c>
      <c r="U875" s="7">
        <v>0.39253309148738569</v>
      </c>
    </row>
    <row r="876" spans="19:21" x14ac:dyDescent="0.25">
      <c r="S876" s="11">
        <v>858</v>
      </c>
      <c r="T876" s="4">
        <v>65.742906259691523</v>
      </c>
      <c r="U876" s="7">
        <v>6.9860150686599232E-2</v>
      </c>
    </row>
    <row r="877" spans="19:21" x14ac:dyDescent="0.25">
      <c r="S877" s="11">
        <v>859</v>
      </c>
      <c r="T877" s="4">
        <v>93.915895623432888</v>
      </c>
      <c r="U877" s="7">
        <v>0.52833027865635285</v>
      </c>
    </row>
    <row r="878" spans="19:21" x14ac:dyDescent="0.25">
      <c r="S878" s="11">
        <v>860</v>
      </c>
      <c r="T878" s="4">
        <v>85.296311414620277</v>
      </c>
      <c r="U878" s="7">
        <v>0.38806039730871067</v>
      </c>
    </row>
    <row r="879" spans="19:21" x14ac:dyDescent="0.25">
      <c r="S879" s="11">
        <v>861</v>
      </c>
      <c r="T879" s="4">
        <v>83.625059092077223</v>
      </c>
      <c r="U879" s="7">
        <v>0.36086345145772536</v>
      </c>
    </row>
    <row r="880" spans="19:21" x14ac:dyDescent="0.25">
      <c r="S880" s="11">
        <v>862</v>
      </c>
      <c r="T880" s="4">
        <v>64.617991945126349</v>
      </c>
      <c r="U880" s="7">
        <v>5.1553977951608543E-2</v>
      </c>
    </row>
    <row r="881" spans="19:21" x14ac:dyDescent="0.25">
      <c r="S881" s="11">
        <v>863</v>
      </c>
      <c r="T881" s="4">
        <v>68.915766128422561</v>
      </c>
      <c r="U881" s="7">
        <v>0.12149334627213282</v>
      </c>
    </row>
    <row r="882" spans="19:21" x14ac:dyDescent="0.25">
      <c r="S882" s="11">
        <v>864</v>
      </c>
      <c r="T882" s="4">
        <v>59.133313770635837</v>
      </c>
      <c r="U882" s="7">
        <v>-3.7700345473786312E-2</v>
      </c>
    </row>
    <row r="883" spans="19:21" x14ac:dyDescent="0.25">
      <c r="S883" s="11">
        <v>865</v>
      </c>
      <c r="T883" s="4">
        <v>74.908331149080169</v>
      </c>
      <c r="U883" s="7">
        <v>0.21901271194597505</v>
      </c>
    </row>
    <row r="884" spans="19:21" x14ac:dyDescent="0.25">
      <c r="S884" s="11">
        <v>866</v>
      </c>
      <c r="T884" s="4">
        <v>82.1102040914068</v>
      </c>
      <c r="U884" s="7">
        <v>0.33621162069010246</v>
      </c>
    </row>
    <row r="885" spans="19:21" x14ac:dyDescent="0.25">
      <c r="S885" s="11">
        <v>867</v>
      </c>
      <c r="T885" s="4">
        <v>81.047277899820259</v>
      </c>
      <c r="U885" s="7">
        <v>0.31891420504182677</v>
      </c>
    </row>
    <row r="886" spans="19:21" x14ac:dyDescent="0.25">
      <c r="S886" s="11">
        <v>868</v>
      </c>
      <c r="T886" s="4">
        <v>62.017293544930297</v>
      </c>
      <c r="U886" s="7">
        <v>9.2317908043986208E-3</v>
      </c>
    </row>
    <row r="887" spans="19:21" x14ac:dyDescent="0.25">
      <c r="S887" s="11">
        <v>869</v>
      </c>
      <c r="T887" s="4">
        <v>81.600927200209142</v>
      </c>
      <c r="U887" s="7">
        <v>0.32792395769258165</v>
      </c>
    </row>
    <row r="888" spans="19:21" x14ac:dyDescent="0.25">
      <c r="S888" s="11">
        <v>870</v>
      </c>
      <c r="T888" s="4">
        <v>56.206117554030946</v>
      </c>
      <c r="U888" s="7">
        <v>-8.5335759901856045E-2</v>
      </c>
    </row>
    <row r="889" spans="19:21" x14ac:dyDescent="0.25">
      <c r="S889" s="11">
        <v>871</v>
      </c>
      <c r="T889" s="4">
        <v>70.705228470456106</v>
      </c>
      <c r="U889" s="7">
        <v>0.1506139702271132</v>
      </c>
    </row>
    <row r="890" spans="19:21" x14ac:dyDescent="0.25">
      <c r="S890" s="11">
        <v>872</v>
      </c>
      <c r="T890" s="4">
        <v>77.666725599583188</v>
      </c>
      <c r="U890" s="7">
        <v>0.2639011488947629</v>
      </c>
    </row>
    <row r="891" spans="19:21" x14ac:dyDescent="0.25">
      <c r="S891" s="11">
        <v>873</v>
      </c>
      <c r="T891" s="4">
        <v>56.847972681691061</v>
      </c>
      <c r="U891" s="7">
        <v>-7.4890599158811133E-2</v>
      </c>
    </row>
    <row r="892" spans="19:21" x14ac:dyDescent="0.25">
      <c r="S892" s="11">
        <v>874</v>
      </c>
      <c r="T892" s="4">
        <v>64.939836163712442</v>
      </c>
      <c r="U892" s="7">
        <v>5.6791475406223535E-2</v>
      </c>
    </row>
    <row r="893" spans="19:21" x14ac:dyDescent="0.25">
      <c r="S893" s="11">
        <v>875</v>
      </c>
      <c r="T893" s="4">
        <v>110.22417258471125</v>
      </c>
      <c r="U893" s="7">
        <v>0.79372127883989019</v>
      </c>
    </row>
    <row r="894" spans="19:21" x14ac:dyDescent="0.25">
      <c r="S894" s="11">
        <v>876</v>
      </c>
      <c r="T894" s="4">
        <v>76.040372200706955</v>
      </c>
      <c r="U894" s="7">
        <v>0.23743486087399424</v>
      </c>
    </row>
    <row r="895" spans="19:21" x14ac:dyDescent="0.25">
      <c r="S895" s="11">
        <v>877</v>
      </c>
      <c r="T895" s="4">
        <v>84.036221738199956</v>
      </c>
      <c r="U895" s="7">
        <v>0.36755446278600412</v>
      </c>
    </row>
    <row r="896" spans="19:21" x14ac:dyDescent="0.25">
      <c r="S896" s="11">
        <v>878</v>
      </c>
      <c r="T896" s="4">
        <v>79.42373209771749</v>
      </c>
      <c r="U896" s="7">
        <v>0.29249360614674513</v>
      </c>
    </row>
    <row r="897" spans="19:21" x14ac:dyDescent="0.25">
      <c r="S897" s="11">
        <v>879</v>
      </c>
      <c r="T897" s="4">
        <v>79.414427859560362</v>
      </c>
      <c r="U897" s="7">
        <v>0.29234219462262589</v>
      </c>
    </row>
    <row r="898" spans="19:21" x14ac:dyDescent="0.25">
      <c r="S898" s="11">
        <v>880</v>
      </c>
      <c r="T898" s="4">
        <v>62.890323095668741</v>
      </c>
      <c r="U898" s="7">
        <v>2.343894378630984E-2</v>
      </c>
    </row>
    <row r="899" spans="19:21" x14ac:dyDescent="0.25">
      <c r="S899" s="11">
        <v>881</v>
      </c>
      <c r="T899" s="4">
        <v>103.92592278442692</v>
      </c>
      <c r="U899" s="7">
        <v>0.69122738461231759</v>
      </c>
    </row>
    <row r="900" spans="19:21" x14ac:dyDescent="0.25">
      <c r="S900" s="11">
        <v>882</v>
      </c>
      <c r="T900" s="4">
        <v>77.256538660078547</v>
      </c>
      <c r="U900" s="7">
        <v>0.25722601562373537</v>
      </c>
    </row>
    <row r="901" spans="19:21" x14ac:dyDescent="0.25">
      <c r="S901" s="11">
        <v>883</v>
      </c>
      <c r="T901" s="4">
        <v>65.347318521292706</v>
      </c>
      <c r="U901" s="7">
        <v>6.3422595952688399E-2</v>
      </c>
    </row>
    <row r="902" spans="19:21" x14ac:dyDescent="0.25">
      <c r="S902" s="11">
        <v>884</v>
      </c>
      <c r="T902" s="4">
        <v>64.853786544904239</v>
      </c>
      <c r="U902" s="7">
        <v>5.5391156141647357E-2</v>
      </c>
    </row>
    <row r="903" spans="19:21" x14ac:dyDescent="0.25">
      <c r="S903" s="11">
        <v>885</v>
      </c>
      <c r="T903" s="4">
        <v>77.665321399025501</v>
      </c>
      <c r="U903" s="7">
        <v>0.26387829778723337</v>
      </c>
    </row>
    <row r="904" spans="19:21" x14ac:dyDescent="0.25">
      <c r="S904" s="11">
        <v>886</v>
      </c>
      <c r="T904" s="4">
        <v>67.709285565947397</v>
      </c>
      <c r="U904" s="7">
        <v>0.10185981392916843</v>
      </c>
    </row>
    <row r="905" spans="19:21" x14ac:dyDescent="0.25">
      <c r="S905" s="11">
        <v>887</v>
      </c>
      <c r="T905" s="4">
        <v>68.89641701832673</v>
      </c>
      <c r="U905" s="7">
        <v>0.12117847059929576</v>
      </c>
    </row>
    <row r="906" spans="19:21" x14ac:dyDescent="0.25">
      <c r="S906" s="11">
        <v>888</v>
      </c>
      <c r="T906" s="4">
        <v>83.162495403367473</v>
      </c>
      <c r="U906" s="7">
        <v>0.35333597076269263</v>
      </c>
    </row>
    <row r="907" spans="19:21" x14ac:dyDescent="0.25">
      <c r="S907" s="11">
        <v>889</v>
      </c>
      <c r="T907" s="4">
        <v>87.400125577365472</v>
      </c>
      <c r="U907" s="7">
        <v>0.42229659198316472</v>
      </c>
    </row>
    <row r="908" spans="19:21" x14ac:dyDescent="0.25">
      <c r="S908" s="11">
        <v>890</v>
      </c>
      <c r="T908" s="4">
        <v>62.439742054034852</v>
      </c>
      <c r="U908" s="7">
        <v>1.6106461416352413E-2</v>
      </c>
    </row>
    <row r="909" spans="19:21" x14ac:dyDescent="0.25">
      <c r="S909" s="11">
        <v>891</v>
      </c>
      <c r="T909" s="4">
        <v>114.65491772579685</v>
      </c>
      <c r="U909" s="7">
        <v>0.86582453581443186</v>
      </c>
    </row>
    <row r="910" spans="19:21" x14ac:dyDescent="0.25">
      <c r="S910" s="11">
        <v>892</v>
      </c>
      <c r="T910" s="4">
        <v>78.933276017996306</v>
      </c>
      <c r="U910" s="7">
        <v>0.28451222161100564</v>
      </c>
    </row>
    <row r="911" spans="19:21" x14ac:dyDescent="0.25">
      <c r="S911" s="11">
        <v>893</v>
      </c>
      <c r="T911" s="4">
        <v>76.252511081342519</v>
      </c>
      <c r="U911" s="7">
        <v>0.24088708024967476</v>
      </c>
    </row>
    <row r="912" spans="19:21" x14ac:dyDescent="0.25">
      <c r="S912" s="11">
        <v>894</v>
      </c>
      <c r="T912" s="4">
        <v>80.347962322215409</v>
      </c>
      <c r="U912" s="7">
        <v>0.30753396781473397</v>
      </c>
    </row>
    <row r="913" spans="19:21" x14ac:dyDescent="0.25">
      <c r="S913" s="11">
        <v>895</v>
      </c>
      <c r="T913" s="4">
        <v>73.749452476142167</v>
      </c>
      <c r="U913" s="7">
        <v>0.20015382385910763</v>
      </c>
    </row>
    <row r="914" spans="19:21" x14ac:dyDescent="0.25">
      <c r="S914" s="11">
        <v>896</v>
      </c>
      <c r="T914" s="4">
        <v>64.210291729756889</v>
      </c>
      <c r="U914" s="7">
        <v>4.4919312119721555E-2</v>
      </c>
    </row>
    <row r="915" spans="19:21" x14ac:dyDescent="0.25">
      <c r="S915" s="11">
        <v>897</v>
      </c>
      <c r="T915" s="4">
        <v>86.365908791627945</v>
      </c>
      <c r="U915" s="7">
        <v>0.40546637577913658</v>
      </c>
    </row>
    <row r="916" spans="19:21" x14ac:dyDescent="0.25">
      <c r="S916" s="11">
        <v>898</v>
      </c>
      <c r="T916" s="4">
        <v>83.296626935930959</v>
      </c>
      <c r="U916" s="7">
        <v>0.35551874590611798</v>
      </c>
    </row>
    <row r="917" spans="19:21" x14ac:dyDescent="0.25">
      <c r="S917" s="11">
        <v>899</v>
      </c>
      <c r="T917" s="4">
        <v>77.675789893801536</v>
      </c>
      <c r="U917" s="7">
        <v>0.26404865571686797</v>
      </c>
    </row>
    <row r="918" spans="19:21" x14ac:dyDescent="0.25">
      <c r="S918" s="11">
        <v>900</v>
      </c>
      <c r="T918" s="4">
        <v>75.220915097220569</v>
      </c>
      <c r="U918" s="7">
        <v>0.2240995133803183</v>
      </c>
    </row>
    <row r="919" spans="19:21" x14ac:dyDescent="0.25">
      <c r="S919" s="11">
        <v>901</v>
      </c>
      <c r="T919" s="4">
        <v>69.335148338988816</v>
      </c>
      <c r="U919" s="7">
        <v>0.1283181178029098</v>
      </c>
    </row>
    <row r="920" spans="19:21" x14ac:dyDescent="0.25">
      <c r="S920" s="11">
        <v>902</v>
      </c>
      <c r="T920" s="4">
        <v>65.932563086139297</v>
      </c>
      <c r="U920" s="7">
        <v>7.294651075897951E-2</v>
      </c>
    </row>
    <row r="921" spans="19:21" x14ac:dyDescent="0.25">
      <c r="S921" s="11">
        <v>903</v>
      </c>
      <c r="T921" s="4">
        <v>60.983575352177475</v>
      </c>
      <c r="U921" s="7">
        <v>-7.5903116000410886E-3</v>
      </c>
    </row>
    <row r="922" spans="19:21" x14ac:dyDescent="0.25">
      <c r="S922" s="11">
        <v>904</v>
      </c>
      <c r="T922" s="4">
        <v>93.343517224353178</v>
      </c>
      <c r="U922" s="7">
        <v>0.51901574002202078</v>
      </c>
    </row>
    <row r="923" spans="19:21" x14ac:dyDescent="0.25">
      <c r="S923" s="11">
        <v>905</v>
      </c>
      <c r="T923" s="4">
        <v>57.127020259121153</v>
      </c>
      <c r="U923" s="7">
        <v>-7.0349548264912132E-2</v>
      </c>
    </row>
    <row r="924" spans="19:21" x14ac:dyDescent="0.25">
      <c r="S924" s="11">
        <v>906</v>
      </c>
      <c r="T924" s="4">
        <v>78.200550474038209</v>
      </c>
      <c r="U924" s="7">
        <v>0.27258829087124825</v>
      </c>
    </row>
    <row r="925" spans="19:21" x14ac:dyDescent="0.25">
      <c r="S925" s="11">
        <v>907</v>
      </c>
      <c r="T925" s="4">
        <v>80.671654823306</v>
      </c>
      <c r="U925" s="7">
        <v>0.31280154309692421</v>
      </c>
    </row>
    <row r="926" spans="19:21" x14ac:dyDescent="0.25">
      <c r="S926" s="11">
        <v>908</v>
      </c>
      <c r="T926" s="4">
        <v>94.913663484461708</v>
      </c>
      <c r="U926" s="7">
        <v>0.54456734718407973</v>
      </c>
    </row>
    <row r="927" spans="19:21" x14ac:dyDescent="0.25">
      <c r="S927" s="11">
        <v>909</v>
      </c>
      <c r="T927" s="4">
        <v>60.12572502678222</v>
      </c>
      <c r="U927" s="7">
        <v>-2.1550447082470003E-2</v>
      </c>
    </row>
    <row r="928" spans="19:21" x14ac:dyDescent="0.25">
      <c r="S928" s="11">
        <v>910</v>
      </c>
      <c r="T928" s="4">
        <v>96.867818823687742</v>
      </c>
      <c r="U928" s="7">
        <v>0.57636808500712355</v>
      </c>
    </row>
    <row r="929" spans="19:21" x14ac:dyDescent="0.25">
      <c r="S929" s="11">
        <v>911</v>
      </c>
      <c r="T929" s="4">
        <v>65.126431965428992</v>
      </c>
      <c r="U929" s="7">
        <v>5.9828022220162591E-2</v>
      </c>
    </row>
    <row r="930" spans="19:21" x14ac:dyDescent="0.25">
      <c r="S930" s="11">
        <v>912</v>
      </c>
      <c r="T930" s="4">
        <v>81.827437024923654</v>
      </c>
      <c r="U930" s="7">
        <v>0.33161004108907477</v>
      </c>
    </row>
    <row r="931" spans="19:21" x14ac:dyDescent="0.25">
      <c r="S931" s="11">
        <v>913</v>
      </c>
      <c r="T931" s="4">
        <v>64.746091294514784</v>
      </c>
      <c r="U931" s="7">
        <v>5.3638589007563464E-2</v>
      </c>
    </row>
    <row r="932" spans="19:21" x14ac:dyDescent="0.25">
      <c r="S932" s="11">
        <v>914</v>
      </c>
      <c r="T932" s="4">
        <v>75.55630009798756</v>
      </c>
      <c r="U932" s="7">
        <v>0.22955736530492366</v>
      </c>
    </row>
    <row r="933" spans="19:21" x14ac:dyDescent="0.25">
      <c r="S933" s="11">
        <v>915</v>
      </c>
      <c r="T933" s="4">
        <v>84.529473928432139</v>
      </c>
      <c r="U933" s="7">
        <v>0.37558134952696731</v>
      </c>
    </row>
    <row r="934" spans="19:21" x14ac:dyDescent="0.25">
      <c r="S934" s="11">
        <v>916</v>
      </c>
      <c r="T934" s="4">
        <v>75.245798913672715</v>
      </c>
      <c r="U934" s="7">
        <v>0.22450445750484471</v>
      </c>
    </row>
    <row r="935" spans="19:21" x14ac:dyDescent="0.25">
      <c r="S935" s="11">
        <v>917</v>
      </c>
      <c r="T935" s="4">
        <v>56.856764461789155</v>
      </c>
      <c r="U935" s="7">
        <v>-7.4747527066083785E-2</v>
      </c>
    </row>
    <row r="936" spans="19:21" x14ac:dyDescent="0.25">
      <c r="S936" s="11">
        <v>918</v>
      </c>
      <c r="T936" s="4">
        <v>76.339856365740147</v>
      </c>
      <c r="U936" s="7">
        <v>0.2423084843895873</v>
      </c>
    </row>
    <row r="937" spans="19:21" x14ac:dyDescent="0.25">
      <c r="S937" s="11">
        <v>919</v>
      </c>
      <c r="T937" s="4">
        <v>62.109101483059327</v>
      </c>
      <c r="U937" s="7">
        <v>1.0725817462316156E-2</v>
      </c>
    </row>
    <row r="938" spans="19:21" x14ac:dyDescent="0.25">
      <c r="S938" s="11">
        <v>920</v>
      </c>
      <c r="T938" s="4">
        <v>54.231410168385999</v>
      </c>
      <c r="U938" s="7">
        <v>-0.11747094925327917</v>
      </c>
    </row>
    <row r="939" spans="19:21" x14ac:dyDescent="0.25">
      <c r="S939" s="11">
        <v>921</v>
      </c>
      <c r="T939" s="4">
        <v>59.7554152042946</v>
      </c>
      <c r="U939" s="7">
        <v>-2.7576644356475222E-2</v>
      </c>
    </row>
    <row r="940" spans="19:21" x14ac:dyDescent="0.25">
      <c r="S940" s="11">
        <v>922</v>
      </c>
      <c r="T940" s="4">
        <v>71.138947822568895</v>
      </c>
      <c r="U940" s="7">
        <v>0.15767205569680875</v>
      </c>
    </row>
    <row r="941" spans="19:21" x14ac:dyDescent="0.25">
      <c r="S941" s="11">
        <v>923</v>
      </c>
      <c r="T941" s="4">
        <v>83.067044687904527</v>
      </c>
      <c r="U941" s="7">
        <v>0.35178266375760003</v>
      </c>
    </row>
    <row r="942" spans="19:21" x14ac:dyDescent="0.25">
      <c r="S942" s="11">
        <v>924</v>
      </c>
      <c r="T942" s="4">
        <v>59.154018418496456</v>
      </c>
      <c r="U942" s="7">
        <v>-3.7363410602173297E-2</v>
      </c>
    </row>
    <row r="943" spans="19:21" x14ac:dyDescent="0.25">
      <c r="S943" s="11">
        <v>925</v>
      </c>
      <c r="T943" s="4">
        <v>65.632443984479863</v>
      </c>
      <c r="U943" s="7">
        <v>6.8062554670136111E-2</v>
      </c>
    </row>
    <row r="944" spans="19:21" x14ac:dyDescent="0.25">
      <c r="S944" s="11">
        <v>926</v>
      </c>
      <c r="T944" s="4">
        <v>90.994717715648989</v>
      </c>
      <c r="U944" s="7">
        <v>0.4807928025329371</v>
      </c>
    </row>
    <row r="945" spans="19:21" x14ac:dyDescent="0.25">
      <c r="S945" s="11">
        <v>927</v>
      </c>
      <c r="T945" s="4">
        <v>79.10880301550236</v>
      </c>
      <c r="U945" s="7">
        <v>0.28736864142396024</v>
      </c>
    </row>
    <row r="946" spans="19:21" x14ac:dyDescent="0.25">
      <c r="S946" s="11">
        <v>928</v>
      </c>
      <c r="T946" s="4">
        <v>79.806024974556138</v>
      </c>
      <c r="U946" s="7">
        <v>0.29871480837357423</v>
      </c>
    </row>
    <row r="947" spans="19:21" x14ac:dyDescent="0.25">
      <c r="S947" s="11">
        <v>929</v>
      </c>
      <c r="T947" s="4">
        <v>85.21655381075395</v>
      </c>
      <c r="U947" s="7">
        <v>0.38676247047606105</v>
      </c>
    </row>
    <row r="948" spans="19:21" x14ac:dyDescent="0.25">
      <c r="S948" s="11">
        <v>930</v>
      </c>
      <c r="T948" s="4">
        <v>56.513856935044586</v>
      </c>
      <c r="U948" s="7">
        <v>-8.0327796012293229E-2</v>
      </c>
    </row>
    <row r="949" spans="19:21" x14ac:dyDescent="0.25">
      <c r="S949" s="11">
        <v>931</v>
      </c>
      <c r="T949" s="4">
        <v>88.753054091609883</v>
      </c>
      <c r="U949" s="7">
        <v>0.44431332939967261</v>
      </c>
    </row>
    <row r="950" spans="19:21" x14ac:dyDescent="0.25">
      <c r="S950" s="11">
        <v>932</v>
      </c>
      <c r="T950" s="4">
        <v>68.132785543754608</v>
      </c>
      <c r="U950" s="7">
        <v>0.10875159550455016</v>
      </c>
    </row>
    <row r="951" spans="19:21" x14ac:dyDescent="0.25">
      <c r="S951" s="11">
        <v>933</v>
      </c>
      <c r="T951" s="4">
        <v>64.210533077088598</v>
      </c>
      <c r="U951" s="7">
        <v>4.4923239659700576E-2</v>
      </c>
    </row>
    <row r="952" spans="19:21" x14ac:dyDescent="0.25">
      <c r="S952" s="11">
        <v>934</v>
      </c>
      <c r="T952" s="4">
        <v>82.049236966701827</v>
      </c>
      <c r="U952" s="7">
        <v>0.33521947870954949</v>
      </c>
    </row>
    <row r="953" spans="19:21" x14ac:dyDescent="0.25">
      <c r="S953" s="11">
        <v>935</v>
      </c>
      <c r="T953" s="4">
        <v>87.058382599355568</v>
      </c>
      <c r="U953" s="7">
        <v>0.41673527419618495</v>
      </c>
    </row>
    <row r="954" spans="19:21" x14ac:dyDescent="0.25">
      <c r="S954" s="11">
        <v>936</v>
      </c>
      <c r="T954" s="4">
        <v>76.7752385193414</v>
      </c>
      <c r="U954" s="7">
        <v>0.24939362928138964</v>
      </c>
    </row>
    <row r="955" spans="19:21" x14ac:dyDescent="0.25">
      <c r="S955" s="11">
        <v>937</v>
      </c>
      <c r="T955" s="4">
        <v>77.005068075240544</v>
      </c>
      <c r="U955" s="7">
        <v>0.25313373596811295</v>
      </c>
    </row>
    <row r="956" spans="19:21" x14ac:dyDescent="0.25">
      <c r="S956" s="11">
        <v>938</v>
      </c>
      <c r="T956" s="4">
        <v>72.192277448042688</v>
      </c>
      <c r="U956" s="7">
        <v>0.17481330265325767</v>
      </c>
    </row>
    <row r="957" spans="19:21" x14ac:dyDescent="0.25">
      <c r="S957" s="11">
        <v>939</v>
      </c>
      <c r="T957" s="4">
        <v>78.182818528266495</v>
      </c>
      <c r="U957" s="7">
        <v>0.27229973194900725</v>
      </c>
    </row>
    <row r="958" spans="19:21" x14ac:dyDescent="0.25">
      <c r="S958" s="11">
        <v>940</v>
      </c>
      <c r="T958" s="4">
        <v>87.568112163181141</v>
      </c>
      <c r="U958" s="7">
        <v>0.42503030371328121</v>
      </c>
    </row>
    <row r="959" spans="19:21" x14ac:dyDescent="0.25">
      <c r="S959" s="11">
        <v>941</v>
      </c>
      <c r="T959" s="4">
        <v>59.965807696708708</v>
      </c>
      <c r="U959" s="7">
        <v>-2.4152844642657323E-2</v>
      </c>
    </row>
    <row r="960" spans="19:21" x14ac:dyDescent="0.25">
      <c r="S960" s="11">
        <v>942</v>
      </c>
      <c r="T960" s="4">
        <v>67.115995884121759</v>
      </c>
      <c r="U960" s="7">
        <v>9.2204977772526453E-2</v>
      </c>
    </row>
    <row r="961" spans="19:21" x14ac:dyDescent="0.25">
      <c r="S961" s="11">
        <v>943</v>
      </c>
      <c r="T961" s="4">
        <v>83.463155136390583</v>
      </c>
      <c r="U961" s="7">
        <v>0.35822872475818679</v>
      </c>
    </row>
    <row r="962" spans="19:21" x14ac:dyDescent="0.25">
      <c r="S962" s="11">
        <v>944</v>
      </c>
      <c r="T962" s="4">
        <v>72.177821857688613</v>
      </c>
      <c r="U962" s="7">
        <v>0.17457806115034358</v>
      </c>
    </row>
    <row r="963" spans="19:21" x14ac:dyDescent="0.25">
      <c r="S963" s="11">
        <v>945</v>
      </c>
      <c r="T963" s="4">
        <v>66.804402145591709</v>
      </c>
      <c r="U963" s="7">
        <v>8.7134290408327209E-2</v>
      </c>
    </row>
    <row r="964" spans="19:21" x14ac:dyDescent="0.25">
      <c r="S964" s="11">
        <v>946</v>
      </c>
      <c r="T964" s="4">
        <v>83.689083254751552</v>
      </c>
      <c r="U964" s="7">
        <v>0.36190534181857692</v>
      </c>
    </row>
    <row r="965" spans="19:21" x14ac:dyDescent="0.25">
      <c r="S965" s="11">
        <v>947</v>
      </c>
      <c r="T965" s="4">
        <v>60.35891427459331</v>
      </c>
      <c r="U965" s="7">
        <v>-1.7755666808896509E-2</v>
      </c>
    </row>
    <row r="966" spans="19:21" x14ac:dyDescent="0.25">
      <c r="S966" s="11">
        <v>948</v>
      </c>
      <c r="T966" s="4">
        <v>89.823059549679073</v>
      </c>
      <c r="U966" s="7">
        <v>0.46172594873358941</v>
      </c>
    </row>
    <row r="967" spans="19:21" x14ac:dyDescent="0.25">
      <c r="S967" s="11">
        <v>949</v>
      </c>
      <c r="T967" s="4">
        <v>87.459869105554731</v>
      </c>
      <c r="U967" s="7">
        <v>0.42326882189674087</v>
      </c>
    </row>
    <row r="968" spans="19:21" x14ac:dyDescent="0.25">
      <c r="S968" s="11">
        <v>950</v>
      </c>
      <c r="T968" s="4">
        <v>77.351960107573547</v>
      </c>
      <c r="U968" s="7">
        <v>0.2587788463396834</v>
      </c>
    </row>
    <row r="969" spans="19:21" x14ac:dyDescent="0.25">
      <c r="S969" s="11">
        <v>951</v>
      </c>
      <c r="T969" s="4">
        <v>100.24994322353979</v>
      </c>
      <c r="U969" s="7">
        <v>0.63140672454906066</v>
      </c>
    </row>
    <row r="970" spans="19:21" x14ac:dyDescent="0.25">
      <c r="S970" s="11">
        <v>952</v>
      </c>
      <c r="T970" s="4">
        <v>72.989919745302629</v>
      </c>
      <c r="U970" s="7">
        <v>0.18779364923193853</v>
      </c>
    </row>
    <row r="971" spans="19:21" x14ac:dyDescent="0.25">
      <c r="S971" s="11">
        <v>953</v>
      </c>
      <c r="T971" s="4">
        <v>91.023688426148141</v>
      </c>
      <c r="U971" s="7">
        <v>0.48126425429044972</v>
      </c>
    </row>
    <row r="972" spans="19:21" x14ac:dyDescent="0.25">
      <c r="S972" s="11">
        <v>954</v>
      </c>
      <c r="T972" s="4">
        <v>74.071554992667288</v>
      </c>
      <c r="U972" s="7">
        <v>0.20539552469759625</v>
      </c>
    </row>
    <row r="973" spans="19:21" x14ac:dyDescent="0.25">
      <c r="S973" s="11">
        <v>955</v>
      </c>
      <c r="T973" s="4">
        <v>95.47185173937774</v>
      </c>
      <c r="U973" s="7">
        <v>0.55365096402567504</v>
      </c>
    </row>
    <row r="974" spans="19:21" x14ac:dyDescent="0.25">
      <c r="S974" s="11">
        <v>956</v>
      </c>
      <c r="T974" s="4">
        <v>67.882705372669577</v>
      </c>
      <c r="U974" s="7">
        <v>0.10468194259836583</v>
      </c>
    </row>
    <row r="975" spans="19:21" x14ac:dyDescent="0.25">
      <c r="S975" s="11">
        <v>957</v>
      </c>
      <c r="T975" s="4">
        <v>77.954632196863713</v>
      </c>
      <c r="U975" s="7">
        <v>0.26858636610030451</v>
      </c>
    </row>
    <row r="976" spans="19:21" x14ac:dyDescent="0.25">
      <c r="S976" s="11">
        <v>958</v>
      </c>
      <c r="T976" s="4">
        <v>70.703408161466911</v>
      </c>
      <c r="U976" s="7">
        <v>0.150584347623546</v>
      </c>
    </row>
    <row r="977" spans="19:21" x14ac:dyDescent="0.25">
      <c r="S977" s="11">
        <v>959</v>
      </c>
      <c r="T977" s="4">
        <v>63.617163201791271</v>
      </c>
      <c r="U977" s="7">
        <v>3.5267098483177772E-2</v>
      </c>
    </row>
    <row r="978" spans="19:21" x14ac:dyDescent="0.25">
      <c r="S978" s="11">
        <v>960</v>
      </c>
      <c r="T978" s="4">
        <v>70.033978416759254</v>
      </c>
      <c r="U978" s="7">
        <v>0.13969045430039473</v>
      </c>
    </row>
    <row r="979" spans="19:21" x14ac:dyDescent="0.25">
      <c r="S979" s="11">
        <v>961</v>
      </c>
      <c r="T979" s="4">
        <v>73.14816073620463</v>
      </c>
      <c r="U979" s="7">
        <v>0.1903687670659826</v>
      </c>
    </row>
    <row r="980" spans="19:21" x14ac:dyDescent="0.25">
      <c r="S980" s="11">
        <v>962</v>
      </c>
      <c r="T980" s="4">
        <v>87.524564266508747</v>
      </c>
      <c r="U980" s="7">
        <v>0.42432163167630166</v>
      </c>
    </row>
    <row r="981" spans="19:21" x14ac:dyDescent="0.25">
      <c r="S981" s="11">
        <v>963</v>
      </c>
      <c r="T981" s="4">
        <v>88.718333410691983</v>
      </c>
      <c r="U981" s="7">
        <v>0.44374830611378324</v>
      </c>
    </row>
    <row r="982" spans="19:21" x14ac:dyDescent="0.25">
      <c r="S982" s="11">
        <v>964</v>
      </c>
      <c r="T982" s="4">
        <v>73.302161509743456</v>
      </c>
      <c r="U982" s="7">
        <v>0.19287488217645987</v>
      </c>
    </row>
    <row r="983" spans="19:21" x14ac:dyDescent="0.25">
      <c r="S983" s="11">
        <v>965</v>
      </c>
      <c r="T983" s="4">
        <v>72.108517832633609</v>
      </c>
      <c r="U983" s="7">
        <v>0.17345024951397248</v>
      </c>
    </row>
    <row r="984" spans="19:21" x14ac:dyDescent="0.25">
      <c r="S984" s="11">
        <v>966</v>
      </c>
      <c r="T984" s="4">
        <v>121.38886846695526</v>
      </c>
      <c r="U984" s="7">
        <v>0.9754087626843817</v>
      </c>
    </row>
    <row r="985" spans="19:21" x14ac:dyDescent="0.25">
      <c r="S985" s="11">
        <v>967</v>
      </c>
      <c r="T985" s="4">
        <v>78.830295704144376</v>
      </c>
      <c r="U985" s="7">
        <v>0.28283638249217846</v>
      </c>
    </row>
    <row r="986" spans="19:21" x14ac:dyDescent="0.25">
      <c r="S986" s="11">
        <v>968</v>
      </c>
      <c r="T986" s="4">
        <v>68.154237392944765</v>
      </c>
      <c r="U986" s="7">
        <v>0.10910068987705057</v>
      </c>
    </row>
    <row r="987" spans="19:21" x14ac:dyDescent="0.25">
      <c r="S987" s="11">
        <v>969</v>
      </c>
      <c r="T987" s="4">
        <v>65.899281512573381</v>
      </c>
      <c r="U987" s="7">
        <v>7.2404906632601795E-2</v>
      </c>
    </row>
    <row r="988" spans="19:21" x14ac:dyDescent="0.25">
      <c r="S988" s="11">
        <v>970</v>
      </c>
      <c r="T988" s="4">
        <v>100.27973411779932</v>
      </c>
      <c r="U988" s="7">
        <v>0.63189152347924038</v>
      </c>
    </row>
    <row r="989" spans="19:21" x14ac:dyDescent="0.25">
      <c r="S989" s="11">
        <v>971</v>
      </c>
      <c r="T989" s="4">
        <v>64.065869202270036</v>
      </c>
      <c r="U989" s="7">
        <v>4.2569067571522012E-2</v>
      </c>
    </row>
    <row r="990" spans="19:21" x14ac:dyDescent="0.25">
      <c r="S990" s="11">
        <v>972</v>
      </c>
      <c r="T990" s="4">
        <v>74.431395193973998</v>
      </c>
      <c r="U990" s="7">
        <v>0.2112513457115377</v>
      </c>
    </row>
    <row r="991" spans="19:21" x14ac:dyDescent="0.25">
      <c r="S991" s="11">
        <v>973</v>
      </c>
      <c r="T991" s="4">
        <v>86.927150750911693</v>
      </c>
      <c r="U991" s="7">
        <v>0.41459968675202097</v>
      </c>
    </row>
    <row r="992" spans="19:21" x14ac:dyDescent="0.25">
      <c r="S992" s="11">
        <v>974</v>
      </c>
      <c r="T992" s="4">
        <v>74.199609418815513</v>
      </c>
      <c r="U992" s="7">
        <v>0.20747940470000836</v>
      </c>
    </row>
    <row r="993" spans="19:21" x14ac:dyDescent="0.25">
      <c r="S993" s="11">
        <v>975</v>
      </c>
      <c r="T993" s="4">
        <v>78.447197612652417</v>
      </c>
      <c r="U993" s="7">
        <v>0.2766020766908448</v>
      </c>
    </row>
    <row r="994" spans="19:21" x14ac:dyDescent="0.25">
      <c r="S994" s="11">
        <v>976</v>
      </c>
      <c r="T994" s="4">
        <v>69.424718942050291</v>
      </c>
      <c r="U994" s="7">
        <v>0.12977573542799492</v>
      </c>
    </row>
    <row r="995" spans="19:21" x14ac:dyDescent="0.25">
      <c r="S995" s="11">
        <v>977</v>
      </c>
      <c r="T995" s="4">
        <v>84.69040783907873</v>
      </c>
      <c r="U995" s="7">
        <v>0.37820029030233893</v>
      </c>
    </row>
    <row r="996" spans="19:21" x14ac:dyDescent="0.25">
      <c r="S996" s="11">
        <v>978</v>
      </c>
      <c r="T996" s="4">
        <v>77.837337332856251</v>
      </c>
      <c r="U996" s="7">
        <v>0.26667758068114322</v>
      </c>
    </row>
    <row r="997" spans="19:21" x14ac:dyDescent="0.25">
      <c r="S997" s="11">
        <v>979</v>
      </c>
      <c r="T997" s="4">
        <v>78.633957241174429</v>
      </c>
      <c r="U997" s="7">
        <v>0.27964128952277334</v>
      </c>
    </row>
    <row r="998" spans="19:21" x14ac:dyDescent="0.25">
      <c r="S998" s="11">
        <v>980</v>
      </c>
      <c r="T998" s="4">
        <v>69.883710046784302</v>
      </c>
      <c r="U998" s="7">
        <v>0.13724507805995612</v>
      </c>
    </row>
    <row r="999" spans="19:21" x14ac:dyDescent="0.25">
      <c r="S999" s="11">
        <v>981</v>
      </c>
      <c r="T999" s="4">
        <v>63.716674838108176</v>
      </c>
      <c r="U999" s="7">
        <v>3.6886490449278719E-2</v>
      </c>
    </row>
    <row r="1000" spans="19:21" x14ac:dyDescent="0.25">
      <c r="S1000" s="11">
        <v>982</v>
      </c>
      <c r="T1000" s="4">
        <v>65.973477387576978</v>
      </c>
      <c r="U1000" s="7">
        <v>7.3612325265695278E-2</v>
      </c>
    </row>
    <row r="1001" spans="19:21" x14ac:dyDescent="0.25">
      <c r="S1001" s="11">
        <v>983</v>
      </c>
      <c r="T1001" s="4">
        <v>90.835291979757642</v>
      </c>
      <c r="U1001" s="7">
        <v>0.47819840487807386</v>
      </c>
    </row>
    <row r="1002" spans="19:21" x14ac:dyDescent="0.25">
      <c r="S1002" s="11">
        <v>984</v>
      </c>
      <c r="T1002" s="4">
        <v>71.690575654769376</v>
      </c>
      <c r="U1002" s="7">
        <v>0.16664891220129174</v>
      </c>
    </row>
    <row r="1003" spans="19:21" x14ac:dyDescent="0.25">
      <c r="S1003" s="11">
        <v>985</v>
      </c>
      <c r="T1003" s="4">
        <v>94.923538116620094</v>
      </c>
      <c r="U1003" s="7">
        <v>0.54472804095394767</v>
      </c>
    </row>
    <row r="1004" spans="19:21" x14ac:dyDescent="0.25">
      <c r="S1004" s="11">
        <v>986</v>
      </c>
      <c r="T1004" s="4">
        <v>82.218010997246338</v>
      </c>
      <c r="U1004" s="7">
        <v>0.3379660048372064</v>
      </c>
    </row>
    <row r="1005" spans="19:21" x14ac:dyDescent="0.25">
      <c r="S1005" s="11">
        <v>987</v>
      </c>
      <c r="T1005" s="4">
        <v>69.872106391002802</v>
      </c>
      <c r="U1005" s="7">
        <v>0.13705624720915854</v>
      </c>
    </row>
    <row r="1006" spans="19:21" x14ac:dyDescent="0.25">
      <c r="S1006" s="11">
        <v>988</v>
      </c>
      <c r="T1006" s="4">
        <v>71.097033704914068</v>
      </c>
      <c r="U1006" s="7">
        <v>0.15698997078786103</v>
      </c>
    </row>
    <row r="1007" spans="19:21" x14ac:dyDescent="0.25">
      <c r="S1007" s="11">
        <v>989</v>
      </c>
      <c r="T1007" s="4">
        <v>82.243860918171961</v>
      </c>
      <c r="U1007" s="7">
        <v>0.33838667075951112</v>
      </c>
    </row>
    <row r="1008" spans="19:21" x14ac:dyDescent="0.25">
      <c r="S1008" s="11">
        <v>990</v>
      </c>
      <c r="T1008" s="4">
        <v>95.726477092762167</v>
      </c>
      <c r="U1008" s="7">
        <v>0.55779458246968527</v>
      </c>
    </row>
    <row r="1009" spans="19:21" x14ac:dyDescent="0.25">
      <c r="S1009" s="11">
        <v>991</v>
      </c>
      <c r="T1009" s="4">
        <v>77.586987688938677</v>
      </c>
      <c r="U1009" s="7">
        <v>0.26260354253765139</v>
      </c>
    </row>
    <row r="1010" spans="19:21" x14ac:dyDescent="0.25">
      <c r="S1010" s="11">
        <v>992</v>
      </c>
      <c r="T1010" s="4">
        <v>80.250603088684869</v>
      </c>
      <c r="U1010" s="7">
        <v>0.30594960274507521</v>
      </c>
    </row>
    <row r="1011" spans="19:21" x14ac:dyDescent="0.25">
      <c r="S1011" s="11">
        <v>993</v>
      </c>
      <c r="T1011" s="4">
        <v>81.104623479955961</v>
      </c>
      <c r="U1011" s="7">
        <v>0.319847412204328</v>
      </c>
    </row>
    <row r="1012" spans="19:21" x14ac:dyDescent="0.25">
      <c r="S1012" s="11">
        <v>994</v>
      </c>
      <c r="T1012" s="4">
        <v>67.914226996645809</v>
      </c>
      <c r="U1012" s="7">
        <v>0.10519490637340612</v>
      </c>
    </row>
    <row r="1013" spans="19:21" x14ac:dyDescent="0.25">
      <c r="S1013" s="11">
        <v>995</v>
      </c>
      <c r="T1013" s="4">
        <v>62.886476636966137</v>
      </c>
      <c r="U1013" s="7">
        <v>2.3376348852174766E-2</v>
      </c>
    </row>
    <row r="1014" spans="19:21" x14ac:dyDescent="0.25">
      <c r="S1014" s="11">
        <v>996</v>
      </c>
      <c r="T1014" s="4">
        <v>89.255192934038107</v>
      </c>
      <c r="U1014" s="7">
        <v>0.4524848321242978</v>
      </c>
    </row>
    <row r="1015" spans="19:21" x14ac:dyDescent="0.25">
      <c r="S1015" s="11">
        <v>997</v>
      </c>
      <c r="T1015" s="4">
        <v>76.220276848886229</v>
      </c>
      <c r="U1015" s="7">
        <v>0.24036251991678159</v>
      </c>
    </row>
    <row r="1016" spans="19:21" x14ac:dyDescent="0.25">
      <c r="S1016" s="11">
        <v>998</v>
      </c>
      <c r="T1016" s="4">
        <v>69.11621912822298</v>
      </c>
      <c r="U1016" s="7">
        <v>0.12475539671640323</v>
      </c>
    </row>
    <row r="1017" spans="19:21" x14ac:dyDescent="0.25">
      <c r="S1017" s="11">
        <v>999</v>
      </c>
      <c r="T1017" s="4">
        <v>74.979335055684217</v>
      </c>
      <c r="U1017" s="7">
        <v>0.2201681864228513</v>
      </c>
    </row>
    <row r="1018" spans="19:21" x14ac:dyDescent="0.25">
      <c r="S1018" s="11">
        <v>1000</v>
      </c>
      <c r="T1018" s="4">
        <v>72.211285959204517</v>
      </c>
      <c r="U1018" s="7">
        <v>0.17512263562578534</v>
      </c>
    </row>
  </sheetData>
  <sheetProtection sheet="1" objects="1" scenarios="1"/>
  <phoneticPr fontId="1" type="noConversion"/>
  <hyperlinks>
    <hyperlink ref="D2" location="TOC" display="Table of Contents" xr:uid="{7EA9DEF4-E2C1-4BDF-AEFD-28D9DCC76005}"/>
  </hyperlinks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39EC-02F8-4FA9-8E01-274628F1D0EC}">
  <sheetPr codeName="Sheet7">
    <tabColor theme="7" tint="0.39997558519241921"/>
  </sheetPr>
  <dimension ref="D2:U1018"/>
  <sheetViews>
    <sheetView showGridLines="0" workbookViewId="0"/>
  </sheetViews>
  <sheetFormatPr defaultRowHeight="15" x14ac:dyDescent="0.25"/>
  <cols>
    <col min="1" max="3" width="2.7109375" style="11" customWidth="1"/>
    <col min="4" max="4" width="17.42578125" style="11" bestFit="1" customWidth="1"/>
    <col min="5" max="5" width="13.7109375" style="11" customWidth="1"/>
    <col min="6" max="6" width="9.7109375" style="11" bestFit="1" customWidth="1"/>
    <col min="7" max="7" width="11.5703125" style="11" bestFit="1" customWidth="1"/>
    <col min="8" max="8" width="17.42578125" style="11" bestFit="1" customWidth="1"/>
    <col min="9" max="11" width="2" style="11" customWidth="1"/>
    <col min="12" max="12" width="9.140625" style="11"/>
    <col min="13" max="13" width="10" style="11" bestFit="1" customWidth="1"/>
    <col min="14" max="14" width="9.140625" style="11"/>
    <col min="15" max="15" width="13.85546875" style="11" bestFit="1" customWidth="1"/>
    <col min="16" max="16" width="9.140625" style="11"/>
    <col min="17" max="17" width="2" style="11" customWidth="1"/>
    <col min="18" max="18" width="2.7109375" style="11" customWidth="1"/>
    <col min="19" max="20" width="9.28515625" style="11" customWidth="1"/>
    <col min="21" max="21" width="13.85546875" style="11" bestFit="1" customWidth="1"/>
    <col min="22" max="16384" width="9.140625" style="11"/>
  </cols>
  <sheetData>
    <row r="2" spans="4:19" x14ac:dyDescent="0.25">
      <c r="D2" s="54" t="s">
        <v>64</v>
      </c>
    </row>
    <row r="4" spans="4:19" ht="18.75" x14ac:dyDescent="0.3">
      <c r="D4" s="64" t="str">
        <f ca="1">MID(CELL("filename",A1),FIND("]",CELL("filename",A1))+1,255)</f>
        <v>RXL</v>
      </c>
    </row>
    <row r="6" spans="4:19" x14ac:dyDescent="0.25">
      <c r="D6" s="40" t="s">
        <v>21</v>
      </c>
      <c r="E6" s="40"/>
      <c r="F6" s="40"/>
      <c r="G6" s="40"/>
      <c r="H6" s="40"/>
      <c r="L6" s="40" t="s">
        <v>25</v>
      </c>
      <c r="M6" s="43"/>
      <c r="N6" s="40" t="s">
        <v>12</v>
      </c>
      <c r="O6" s="40" t="s">
        <v>13</v>
      </c>
    </row>
    <row r="7" spans="4:19" x14ac:dyDescent="0.25">
      <c r="D7" s="11" t="s">
        <v>24</v>
      </c>
      <c r="H7" s="80">
        <f>Assumptions!F19</f>
        <v>12</v>
      </c>
      <c r="L7" s="11" t="s">
        <v>14</v>
      </c>
      <c r="N7" s="4">
        <f>AVERAGE(T19:T1018)</f>
        <v>132.4323838273275</v>
      </c>
      <c r="O7" s="7">
        <f>AVERAGE(U19:U1018)</f>
        <v>0.33084497866875129</v>
      </c>
    </row>
    <row r="8" spans="4:19" x14ac:dyDescent="0.25">
      <c r="D8" s="11" t="s">
        <v>15</v>
      </c>
      <c r="H8" s="48">
        <f>MAX(S19:S2018)</f>
        <v>1000</v>
      </c>
      <c r="L8" s="11" t="s">
        <v>30</v>
      </c>
      <c r="N8" s="4">
        <f>MIN($T$19:$T$1018)</f>
        <v>41.301301666987115</v>
      </c>
      <c r="O8" s="7">
        <f>MIN($U$19:$U$1018)</f>
        <v>-0.58495325427608169</v>
      </c>
    </row>
    <row r="9" spans="4:19" x14ac:dyDescent="0.25">
      <c r="D9" s="41" t="s">
        <v>16</v>
      </c>
      <c r="G9" s="45">
        <v>44578</v>
      </c>
      <c r="H9" s="38">
        <v>99.51</v>
      </c>
      <c r="L9" s="11" t="s">
        <v>31</v>
      </c>
      <c r="N9" s="4">
        <f>MAX($T$19:$T$1018)</f>
        <v>310.70237555672986</v>
      </c>
      <c r="O9" s="7">
        <f>MAX($U$19:$U$1018)</f>
        <v>2.1223231389481443</v>
      </c>
    </row>
    <row r="10" spans="4:19" x14ac:dyDescent="0.25">
      <c r="D10" s="11" t="s">
        <v>19</v>
      </c>
      <c r="H10" s="46">
        <v>0</v>
      </c>
      <c r="L10" s="11" t="s">
        <v>27</v>
      </c>
      <c r="N10" s="4">
        <f>_xlfn.STDEV.S(T19:T1018)</f>
        <v>40.291666617960367</v>
      </c>
      <c r="O10" s="7">
        <f>_xlfn.STDEV.S(U19:U1018)</f>
        <v>0.40490067950920078</v>
      </c>
    </row>
    <row r="12" spans="4:19" x14ac:dyDescent="0.25">
      <c r="D12" s="11" t="s">
        <v>22</v>
      </c>
      <c r="H12" s="4">
        <f>IF(H10&gt;0,H9*(1-H10),H9)</f>
        <v>99.51</v>
      </c>
      <c r="L12" s="11" t="s">
        <v>28</v>
      </c>
      <c r="O12" s="49">
        <f>COUNTIF($U$19:$U$1018,"&gt;0")/$H$8</f>
        <v>0.78900000000000003</v>
      </c>
    </row>
    <row r="13" spans="4:19" x14ac:dyDescent="0.25">
      <c r="D13" s="11" t="s">
        <v>23</v>
      </c>
      <c r="H13" s="4">
        <f ca="1">P29</f>
        <v>231.73946371341032</v>
      </c>
      <c r="L13" s="11" t="s">
        <v>29</v>
      </c>
      <c r="O13" s="49">
        <f>COUNTIF($U$19:$U$1018,"&lt;0")/$H$8</f>
        <v>0.21099999999999999</v>
      </c>
    </row>
    <row r="14" spans="4:19" x14ac:dyDescent="0.25">
      <c r="D14" s="41" t="s">
        <v>36</v>
      </c>
      <c r="H14" s="4">
        <f ca="1">IF(H10&lt;0,H13+(H10*H9),H13)</f>
        <v>231.73946371341032</v>
      </c>
    </row>
    <row r="16" spans="4:19" x14ac:dyDescent="0.25">
      <c r="L16" s="20" t="s">
        <v>20</v>
      </c>
      <c r="S16" s="20" t="s">
        <v>35</v>
      </c>
    </row>
    <row r="17" spans="4:21" x14ac:dyDescent="0.25">
      <c r="D17" s="47" t="s">
        <v>0</v>
      </c>
      <c r="E17" s="47" t="s">
        <v>10</v>
      </c>
      <c r="F17" s="47" t="s">
        <v>1</v>
      </c>
      <c r="G17" s="47" t="s">
        <v>2</v>
      </c>
      <c r="H17" s="47" t="s">
        <v>3</v>
      </c>
      <c r="L17" s="51" t="s">
        <v>9</v>
      </c>
      <c r="M17" s="52" t="s">
        <v>17</v>
      </c>
      <c r="N17" s="52" t="s">
        <v>10</v>
      </c>
      <c r="O17" s="52" t="s">
        <v>11</v>
      </c>
      <c r="P17" s="52" t="s">
        <v>18</v>
      </c>
      <c r="R17" s="32"/>
      <c r="S17" s="52" t="s">
        <v>26</v>
      </c>
      <c r="T17" s="52" t="s">
        <v>12</v>
      </c>
      <c r="U17" s="52" t="s">
        <v>13</v>
      </c>
    </row>
    <row r="18" spans="4:21" x14ac:dyDescent="0.25">
      <c r="D18" s="47" t="s">
        <v>7</v>
      </c>
      <c r="E18" s="47">
        <v>1</v>
      </c>
      <c r="F18" s="25">
        <v>44562</v>
      </c>
      <c r="G18" s="23">
        <v>104.22</v>
      </c>
      <c r="H18" s="34">
        <v>-6.8499517357262896E-2</v>
      </c>
      <c r="L18" s="11">
        <v>1</v>
      </c>
      <c r="M18" s="4">
        <f>H12</f>
        <v>99.51</v>
      </c>
      <c r="N18" s="1">
        <f ca="1">RANDBETWEEN(1,MAX(RXL[Scenario]))</f>
        <v>30</v>
      </c>
      <c r="O18" s="7">
        <f ca="1">INDEX(RXL[Monthly Return],MATCH(N18,RXL[Scenario],0))</f>
        <v>-2.1620622747851703E-2</v>
      </c>
      <c r="P18" s="4">
        <f ca="1">(1+O18)*M18</f>
        <v>97.358531830361287</v>
      </c>
      <c r="S18" s="32"/>
      <c r="T18" s="6">
        <f ca="1">$H$14</f>
        <v>231.73946371341032</v>
      </c>
      <c r="U18" s="53">
        <f ca="1">$H$14/$H$12-1</f>
        <v>1.3288057854829698</v>
      </c>
    </row>
    <row r="19" spans="4:21" x14ac:dyDescent="0.25">
      <c r="D19" s="47" t="s">
        <v>7</v>
      </c>
      <c r="E19" s="47">
        <v>2</v>
      </c>
      <c r="F19" s="25">
        <v>44531</v>
      </c>
      <c r="G19" s="23">
        <v>111.884</v>
      </c>
      <c r="H19" s="34">
        <v>0.16399727425471156</v>
      </c>
      <c r="L19" s="11">
        <v>2</v>
      </c>
      <c r="M19" s="4">
        <f ca="1">P18</f>
        <v>97.358531830361287</v>
      </c>
      <c r="N19" s="1">
        <f ca="1">RANDBETWEEN(1,MAX(RXL[Scenario]))</f>
        <v>4</v>
      </c>
      <c r="O19" s="7">
        <f ca="1">INDEX(RXL[Monthly Return],MATCH(N19,RXL[Scenario],0))</f>
        <v>9.338277184953192E-2</v>
      </c>
      <c r="P19" s="4">
        <f ca="1">(1+O19)*M19</f>
        <v>106.4501413958813</v>
      </c>
      <c r="S19" s="11">
        <v>1</v>
      </c>
      <c r="T19" s="4">
        <f t="dataTable" ref="T19:U1018" dt2D="0" dtr="0" r1="R17" ca="1"/>
        <v>110.67973735754073</v>
      </c>
      <c r="U19" s="7">
        <v>0.11224738576565896</v>
      </c>
    </row>
    <row r="20" spans="4:21" x14ac:dyDescent="0.25">
      <c r="D20" s="47" t="s">
        <v>7</v>
      </c>
      <c r="E20" s="47">
        <v>3</v>
      </c>
      <c r="F20" s="25">
        <v>44501</v>
      </c>
      <c r="G20" s="23">
        <v>96.120500000000007</v>
      </c>
      <c r="H20" s="34">
        <v>-7.4227105973091789E-2</v>
      </c>
      <c r="L20" s="11">
        <v>3</v>
      </c>
      <c r="M20" s="4">
        <f t="shared" ref="M20:M29" ca="1" si="0">P19</f>
        <v>106.4501413958813</v>
      </c>
      <c r="N20" s="1">
        <f ca="1">RANDBETWEEN(1,MAX(RXL[Scenario]))</f>
        <v>2</v>
      </c>
      <c r="O20" s="7">
        <f ca="1">INDEX(RXL[Monthly Return],MATCH(N20,RXL[Scenario],0))</f>
        <v>0.16399727425471156</v>
      </c>
      <c r="P20" s="4">
        <f t="shared" ref="P20:P29" ca="1" si="1">(1+O20)*M20</f>
        <v>123.90767442883447</v>
      </c>
      <c r="S20" s="11">
        <v>2</v>
      </c>
      <c r="T20" s="4">
        <v>128.03275327449973</v>
      </c>
      <c r="U20" s="7">
        <v>0.28663202969048052</v>
      </c>
    </row>
    <row r="21" spans="4:21" x14ac:dyDescent="0.25">
      <c r="D21" s="47" t="s">
        <v>7</v>
      </c>
      <c r="E21" s="47">
        <v>4</v>
      </c>
      <c r="F21" s="25">
        <v>44470</v>
      </c>
      <c r="G21" s="23">
        <v>103.82729999999999</v>
      </c>
      <c r="H21" s="34">
        <v>9.338277184953192E-2</v>
      </c>
      <c r="L21" s="11">
        <v>4</v>
      </c>
      <c r="M21" s="4">
        <f t="shared" ca="1" si="0"/>
        <v>123.90767442883447</v>
      </c>
      <c r="N21" s="1">
        <f ca="1">RANDBETWEEN(1,MAX(RXL[Scenario]))</f>
        <v>9</v>
      </c>
      <c r="O21" s="7">
        <f ca="1">INDEX(RXL[Monthly Return],MATCH(N21,RXL[Scenario],0))</f>
        <v>2.51297918694664E-2</v>
      </c>
      <c r="P21" s="4">
        <f t="shared" ca="1" si="1"/>
        <v>127.02144849826068</v>
      </c>
      <c r="S21" s="11">
        <v>3</v>
      </c>
      <c r="T21" s="4">
        <v>146.75407642939294</v>
      </c>
      <c r="U21" s="7">
        <v>0.47476712319759762</v>
      </c>
    </row>
    <row r="22" spans="4:21" x14ac:dyDescent="0.25">
      <c r="D22" s="47" t="s">
        <v>7</v>
      </c>
      <c r="E22" s="47">
        <v>5</v>
      </c>
      <c r="F22" s="25">
        <v>44440</v>
      </c>
      <c r="G22" s="23">
        <v>94.959699999999998</v>
      </c>
      <c r="H22" s="34">
        <v>-0.10822229902069425</v>
      </c>
      <c r="L22" s="11">
        <v>5</v>
      </c>
      <c r="M22" s="4">
        <f t="shared" ca="1" si="0"/>
        <v>127.02144849826068</v>
      </c>
      <c r="N22" s="1">
        <f ca="1">RANDBETWEEN(1,MAX(RXL[Scenario]))</f>
        <v>16</v>
      </c>
      <c r="O22" s="7">
        <f ca="1">INDEX(RXL[Monthly Return],MATCH(N22,RXL[Scenario],0))</f>
        <v>-8.2160689272567367E-2</v>
      </c>
      <c r="P22" s="4">
        <f t="shared" ca="1" si="1"/>
        <v>116.58527873724367</v>
      </c>
      <c r="S22" s="11">
        <v>4</v>
      </c>
      <c r="T22" s="4">
        <v>93.302947602174939</v>
      </c>
      <c r="U22" s="7">
        <v>-6.2376167197518484E-2</v>
      </c>
    </row>
    <row r="23" spans="4:21" x14ac:dyDescent="0.25">
      <c r="D23" s="47" t="s">
        <v>7</v>
      </c>
      <c r="E23" s="47">
        <v>6</v>
      </c>
      <c r="F23" s="25">
        <v>44409</v>
      </c>
      <c r="G23" s="23">
        <v>106.4836</v>
      </c>
      <c r="H23" s="34">
        <v>4.8106129953679355E-2</v>
      </c>
      <c r="L23" s="11">
        <v>6</v>
      </c>
      <c r="M23" s="4">
        <f t="shared" ca="1" si="0"/>
        <v>116.58527873724367</v>
      </c>
      <c r="N23" s="1">
        <f ca="1">RANDBETWEEN(1,MAX(RXL[Scenario]))</f>
        <v>19</v>
      </c>
      <c r="O23" s="7">
        <f ca="1">INDEX(RXL[Monthly Return],MATCH(N23,RXL[Scenario],0))</f>
        <v>9.8082028082455031E-2</v>
      </c>
      <c r="P23" s="4">
        <f t="shared" ca="1" si="1"/>
        <v>128.02019932035086</v>
      </c>
      <c r="S23" s="11">
        <v>5</v>
      </c>
      <c r="T23" s="4">
        <v>92.159976439157788</v>
      </c>
      <c r="U23" s="7">
        <v>-7.3862160193369664E-2</v>
      </c>
    </row>
    <row r="24" spans="4:21" x14ac:dyDescent="0.25">
      <c r="D24" s="47" t="s">
        <v>7</v>
      </c>
      <c r="E24" s="47">
        <v>7</v>
      </c>
      <c r="F24" s="25">
        <v>44378</v>
      </c>
      <c r="G24" s="23">
        <v>101.5962</v>
      </c>
      <c r="H24" s="34">
        <v>9.0352381586092712E-2</v>
      </c>
      <c r="L24" s="11">
        <v>7</v>
      </c>
      <c r="M24" s="4">
        <f t="shared" ca="1" si="0"/>
        <v>128.02019932035086</v>
      </c>
      <c r="N24" s="1">
        <f ca="1">RANDBETWEEN(1,MAX(RXL[Scenario]))</f>
        <v>22</v>
      </c>
      <c r="O24" s="7">
        <f ca="1">INDEX(RXL[Monthly Return],MATCH(N24,RXL[Scenario],0))</f>
        <v>0.26654036240175816</v>
      </c>
      <c r="P24" s="4">
        <f t="shared" ca="1" si="1"/>
        <v>162.14274964194249</v>
      </c>
      <c r="S24" s="11">
        <v>6</v>
      </c>
      <c r="T24" s="4">
        <v>141.02287124005298</v>
      </c>
      <c r="U24" s="7">
        <v>0.41717285941164683</v>
      </c>
    </row>
    <row r="25" spans="4:21" x14ac:dyDescent="0.25">
      <c r="D25" s="47" t="s">
        <v>7</v>
      </c>
      <c r="E25" s="47">
        <v>8</v>
      </c>
      <c r="F25" s="25">
        <v>44348</v>
      </c>
      <c r="G25" s="23">
        <v>93.177400000000006</v>
      </c>
      <c r="H25" s="34">
        <v>5.3322104216006139E-2</v>
      </c>
      <c r="L25" s="11">
        <v>8</v>
      </c>
      <c r="M25" s="4">
        <f t="shared" ca="1" si="0"/>
        <v>162.14274964194249</v>
      </c>
      <c r="N25" s="1">
        <f ca="1">RANDBETWEEN(1,MAX(RXL[Scenario]))</f>
        <v>50</v>
      </c>
      <c r="O25" s="7">
        <f ca="1">INDEX(RXL[Monthly Return],MATCH(N25,RXL[Scenario],0))</f>
        <v>-1.0872103171634673E-2</v>
      </c>
      <c r="P25" s="4">
        <f t="shared" ca="1" si="1"/>
        <v>160.37991693930275</v>
      </c>
      <c r="S25" s="11">
        <v>7</v>
      </c>
      <c r="T25" s="4">
        <v>114.19481066557995</v>
      </c>
      <c r="U25" s="7">
        <v>0.14757120556305847</v>
      </c>
    </row>
    <row r="26" spans="4:21" x14ac:dyDescent="0.25">
      <c r="D26" s="47" t="s">
        <v>7</v>
      </c>
      <c r="E26" s="47">
        <v>9</v>
      </c>
      <c r="F26" s="25">
        <v>44317</v>
      </c>
      <c r="G26" s="23">
        <v>88.460499999999996</v>
      </c>
      <c r="H26" s="34">
        <v>2.51297918694664E-2</v>
      </c>
      <c r="L26" s="11">
        <v>9</v>
      </c>
      <c r="M26" s="4">
        <f t="shared" ca="1" si="0"/>
        <v>160.37991693930275</v>
      </c>
      <c r="N26" s="1">
        <f ca="1">RANDBETWEEN(1,MAX(RXL[Scenario]))</f>
        <v>19</v>
      </c>
      <c r="O26" s="7">
        <f ca="1">INDEX(RXL[Monthly Return],MATCH(N26,RXL[Scenario],0))</f>
        <v>9.8082028082455031E-2</v>
      </c>
      <c r="P26" s="4">
        <f t="shared" ca="1" si="1"/>
        <v>176.11030445640523</v>
      </c>
      <c r="S26" s="11">
        <v>8</v>
      </c>
      <c r="T26" s="4">
        <v>226.12875109758153</v>
      </c>
      <c r="U26" s="7">
        <v>1.2724223806409558</v>
      </c>
    </row>
    <row r="27" spans="4:21" x14ac:dyDescent="0.25">
      <c r="D27" s="47" t="s">
        <v>7</v>
      </c>
      <c r="E27" s="47">
        <v>10</v>
      </c>
      <c r="F27" s="25">
        <v>44287</v>
      </c>
      <c r="G27" s="23">
        <v>86.292000000000002</v>
      </c>
      <c r="H27" s="34">
        <v>8.3293265760365331E-2</v>
      </c>
      <c r="L27" s="11">
        <v>10</v>
      </c>
      <c r="M27" s="4">
        <f t="shared" ca="1" si="0"/>
        <v>176.11030445640523</v>
      </c>
      <c r="N27" s="1">
        <f ca="1">RANDBETWEEN(1,MAX(RXL[Scenario]))</f>
        <v>44</v>
      </c>
      <c r="O27" s="7">
        <f ca="1">INDEX(RXL[Monthly Return],MATCH(N27,RXL[Scenario],0))</f>
        <v>3.4945223189196906E-2</v>
      </c>
      <c r="P27" s="4">
        <f t="shared" ca="1" si="1"/>
        <v>182.26451835155174</v>
      </c>
      <c r="S27" s="11">
        <v>9</v>
      </c>
      <c r="T27" s="4">
        <v>136.39996919658174</v>
      </c>
      <c r="U27" s="7">
        <v>0.37071620135244432</v>
      </c>
    </row>
    <row r="28" spans="4:21" x14ac:dyDescent="0.25">
      <c r="D28" s="47" t="s">
        <v>7</v>
      </c>
      <c r="E28" s="47">
        <v>11</v>
      </c>
      <c r="F28" s="25">
        <v>44256</v>
      </c>
      <c r="G28" s="23">
        <v>79.6571</v>
      </c>
      <c r="H28" s="34">
        <v>4.6450923001739364E-2</v>
      </c>
      <c r="L28" s="11">
        <v>11</v>
      </c>
      <c r="M28" s="4">
        <f t="shared" ca="1" si="0"/>
        <v>182.26451835155174</v>
      </c>
      <c r="N28" s="1">
        <f ca="1">RANDBETWEEN(1,MAX(RXL[Scenario]))</f>
        <v>43</v>
      </c>
      <c r="O28" s="7">
        <f ca="1">INDEX(RXL[Monthly Return],MATCH(N28,RXL[Scenario],0))</f>
        <v>0.12758407243782677</v>
      </c>
      <c r="P28" s="4">
        <f t="shared" ca="1" si="1"/>
        <v>205.51856786376172</v>
      </c>
      <c r="S28" s="11">
        <v>10</v>
      </c>
      <c r="T28" s="4">
        <v>113.44610547211826</v>
      </c>
      <c r="U28" s="7">
        <v>0.14004728642466335</v>
      </c>
    </row>
    <row r="29" spans="4:21" x14ac:dyDescent="0.25">
      <c r="D29" s="47" t="s">
        <v>7</v>
      </c>
      <c r="E29" s="47">
        <v>12</v>
      </c>
      <c r="F29" s="25">
        <v>44228</v>
      </c>
      <c r="G29" s="23">
        <v>76.121200000000002</v>
      </c>
      <c r="H29" s="34">
        <v>-3.908727353517405E-2</v>
      </c>
      <c r="L29" s="11">
        <v>12</v>
      </c>
      <c r="M29" s="4">
        <f t="shared" ca="1" si="0"/>
        <v>205.51856786376172</v>
      </c>
      <c r="N29" s="1">
        <f ca="1">RANDBETWEEN(1,MAX(RXL[Scenario]))</f>
        <v>43</v>
      </c>
      <c r="O29" s="7">
        <f ca="1">INDEX(RXL[Monthly Return],MATCH(N29,RXL[Scenario],0))</f>
        <v>0.12758407243782677</v>
      </c>
      <c r="P29" s="4">
        <f t="shared" ca="1" si="1"/>
        <v>231.73946371341032</v>
      </c>
      <c r="S29" s="11">
        <v>11</v>
      </c>
      <c r="T29" s="4">
        <v>120.57283610986788</v>
      </c>
      <c r="U29" s="7">
        <v>0.21166552215724921</v>
      </c>
    </row>
    <row r="30" spans="4:21" x14ac:dyDescent="0.25">
      <c r="D30" s="47" t="s">
        <v>7</v>
      </c>
      <c r="E30" s="47">
        <v>13</v>
      </c>
      <c r="F30" s="25">
        <v>44197</v>
      </c>
      <c r="G30" s="23">
        <v>79.217600000000004</v>
      </c>
      <c r="H30" s="34">
        <v>4.8348291916013197E-2</v>
      </c>
      <c r="S30" s="11">
        <v>12</v>
      </c>
      <c r="T30" s="4">
        <v>163.51589946583687</v>
      </c>
      <c r="U30" s="7">
        <v>0.6432107272217551</v>
      </c>
    </row>
    <row r="31" spans="4:21" x14ac:dyDescent="0.25">
      <c r="D31" s="47" t="s">
        <v>7</v>
      </c>
      <c r="E31" s="47">
        <v>14</v>
      </c>
      <c r="F31" s="25">
        <v>44166</v>
      </c>
      <c r="G31" s="23">
        <v>75.5642</v>
      </c>
      <c r="H31" s="34">
        <v>7.4531909235824978E-2</v>
      </c>
      <c r="S31" s="11">
        <v>13</v>
      </c>
      <c r="T31" s="4">
        <v>109.89551123435169</v>
      </c>
      <c r="U31" s="7">
        <v>0.10436650823386273</v>
      </c>
    </row>
    <row r="32" spans="4:21" x14ac:dyDescent="0.25">
      <c r="D32" s="47" t="s">
        <v>7</v>
      </c>
      <c r="E32" s="47">
        <v>15</v>
      </c>
      <c r="F32" s="25">
        <v>44136</v>
      </c>
      <c r="G32" s="23">
        <v>70.322900000000004</v>
      </c>
      <c r="H32" s="34">
        <v>0.17419515347226522</v>
      </c>
      <c r="S32" s="11">
        <v>14</v>
      </c>
      <c r="T32" s="4">
        <v>106.38174736121483</v>
      </c>
      <c r="U32" s="7">
        <v>6.9055847263740588E-2</v>
      </c>
    </row>
    <row r="33" spans="4:21" x14ac:dyDescent="0.25">
      <c r="D33" s="47" t="s">
        <v>7</v>
      </c>
      <c r="E33" s="47">
        <v>16</v>
      </c>
      <c r="F33" s="25">
        <v>44105</v>
      </c>
      <c r="G33" s="23">
        <v>59.890300000000003</v>
      </c>
      <c r="H33" s="34">
        <v>-8.2160689272567367E-2</v>
      </c>
      <c r="S33" s="11">
        <v>15</v>
      </c>
      <c r="T33" s="4">
        <v>135.853758707265</v>
      </c>
      <c r="U33" s="7">
        <v>0.36522720035438638</v>
      </c>
    </row>
    <row r="34" spans="4:21" x14ac:dyDescent="0.25">
      <c r="D34" s="47" t="s">
        <v>7</v>
      </c>
      <c r="E34" s="47">
        <v>17</v>
      </c>
      <c r="F34" s="25">
        <v>44075</v>
      </c>
      <c r="G34" s="23">
        <v>65.251400000000004</v>
      </c>
      <c r="H34" s="34">
        <v>-3.5987548624335619E-2</v>
      </c>
      <c r="S34" s="11">
        <v>16</v>
      </c>
      <c r="T34" s="4">
        <v>169.94964302792084</v>
      </c>
      <c r="U34" s="7">
        <v>0.70786496862547321</v>
      </c>
    </row>
    <row r="35" spans="4:21" x14ac:dyDescent="0.25">
      <c r="D35" s="47" t="s">
        <v>7</v>
      </c>
      <c r="E35" s="47">
        <v>18</v>
      </c>
      <c r="F35" s="25">
        <v>44044</v>
      </c>
      <c r="G35" s="23">
        <v>67.687299999999993</v>
      </c>
      <c r="H35" s="34">
        <v>5.2304855657938187E-2</v>
      </c>
      <c r="S35" s="11">
        <v>17</v>
      </c>
      <c r="T35" s="4">
        <v>145.28693080265154</v>
      </c>
      <c r="U35" s="7">
        <v>0.46002342279822672</v>
      </c>
    </row>
    <row r="36" spans="4:21" x14ac:dyDescent="0.25">
      <c r="D36" s="47" t="s">
        <v>7</v>
      </c>
      <c r="E36" s="47">
        <v>19</v>
      </c>
      <c r="F36" s="25">
        <v>44013</v>
      </c>
      <c r="G36" s="23">
        <v>64.322900000000004</v>
      </c>
      <c r="H36" s="34">
        <v>9.8082028082455031E-2</v>
      </c>
      <c r="S36" s="11">
        <v>18</v>
      </c>
      <c r="T36" s="4">
        <v>212.00094629171571</v>
      </c>
      <c r="U36" s="7">
        <v>1.1304486613578102</v>
      </c>
    </row>
    <row r="37" spans="4:21" x14ac:dyDescent="0.25">
      <c r="D37" s="47" t="s">
        <v>7</v>
      </c>
      <c r="E37" s="47">
        <v>20</v>
      </c>
      <c r="F37" s="25">
        <v>43983</v>
      </c>
      <c r="G37" s="23">
        <v>58.577500000000001</v>
      </c>
      <c r="H37" s="34">
        <v>-4.7715427408368316E-2</v>
      </c>
      <c r="S37" s="11">
        <v>19</v>
      </c>
      <c r="T37" s="4">
        <v>91.625995812231409</v>
      </c>
      <c r="U37" s="7">
        <v>-7.9228260353417679E-2</v>
      </c>
    </row>
    <row r="38" spans="4:21" x14ac:dyDescent="0.25">
      <c r="D38" s="47" t="s">
        <v>7</v>
      </c>
      <c r="E38" s="47">
        <v>21</v>
      </c>
      <c r="F38" s="25">
        <v>43952</v>
      </c>
      <c r="G38" s="23">
        <v>61.512599999999999</v>
      </c>
      <c r="H38" s="34">
        <v>7.4930930175256538E-2</v>
      </c>
      <c r="S38" s="11">
        <v>20</v>
      </c>
      <c r="T38" s="4">
        <v>118.82092529345331</v>
      </c>
      <c r="U38" s="7">
        <v>0.19406014765805746</v>
      </c>
    </row>
    <row r="39" spans="4:21" x14ac:dyDescent="0.25">
      <c r="D39" s="47" t="s">
        <v>7</v>
      </c>
      <c r="E39" s="47">
        <v>22</v>
      </c>
      <c r="F39" s="25">
        <v>43922</v>
      </c>
      <c r="G39" s="23">
        <v>57.224699999999999</v>
      </c>
      <c r="H39" s="34">
        <v>0.26654036240175816</v>
      </c>
      <c r="S39" s="11">
        <v>21</v>
      </c>
      <c r="T39" s="4">
        <v>101.2053869396595</v>
      </c>
      <c r="U39" s="7">
        <v>1.7037352423469931E-2</v>
      </c>
    </row>
    <row r="40" spans="4:21" x14ac:dyDescent="0.25">
      <c r="D40" s="47" t="s">
        <v>7</v>
      </c>
      <c r="E40" s="47">
        <v>23</v>
      </c>
      <c r="F40" s="25">
        <v>43891</v>
      </c>
      <c r="G40" s="23">
        <v>45.181899999999999</v>
      </c>
      <c r="H40" s="34">
        <v>-0.13429544230890822</v>
      </c>
      <c r="S40" s="11">
        <v>22</v>
      </c>
      <c r="T40" s="4">
        <v>226.81645095046645</v>
      </c>
      <c r="U40" s="7">
        <v>1.2793332423923869</v>
      </c>
    </row>
    <row r="41" spans="4:21" x14ac:dyDescent="0.25">
      <c r="D41" s="47" t="s">
        <v>7</v>
      </c>
      <c r="E41" s="47">
        <v>24</v>
      </c>
      <c r="F41" s="25">
        <v>43862</v>
      </c>
      <c r="G41" s="23">
        <v>52.190899999999999</v>
      </c>
      <c r="H41" s="34">
        <v>-0.1301052722811884</v>
      </c>
      <c r="S41" s="11">
        <v>23</v>
      </c>
      <c r="T41" s="4">
        <v>124.95788537837767</v>
      </c>
      <c r="U41" s="7">
        <v>0.2557319402912035</v>
      </c>
    </row>
    <row r="42" spans="4:21" x14ac:dyDescent="0.25">
      <c r="D42" s="47" t="s">
        <v>7</v>
      </c>
      <c r="E42" s="47">
        <v>25</v>
      </c>
      <c r="F42" s="25">
        <v>43831</v>
      </c>
      <c r="G42" s="23">
        <v>59.9968</v>
      </c>
      <c r="H42" s="34">
        <v>-5.2689085448843986E-2</v>
      </c>
      <c r="S42" s="11">
        <v>24</v>
      </c>
      <c r="T42" s="4">
        <v>124.33893315181722</v>
      </c>
      <c r="U42" s="7">
        <v>0.24951194002429111</v>
      </c>
    </row>
    <row r="43" spans="4:21" x14ac:dyDescent="0.25">
      <c r="D43" s="47" t="s">
        <v>7</v>
      </c>
      <c r="E43" s="47">
        <v>26</v>
      </c>
      <c r="F43" s="25">
        <v>43800</v>
      </c>
      <c r="G43" s="23">
        <v>63.333799999999997</v>
      </c>
      <c r="H43" s="34">
        <v>6.1644788563822939E-2</v>
      </c>
      <c r="S43" s="11">
        <v>25</v>
      </c>
      <c r="T43" s="4">
        <v>180.91571272667326</v>
      </c>
      <c r="U43" s="7">
        <v>0.81806564894657074</v>
      </c>
    </row>
    <row r="44" spans="4:21" x14ac:dyDescent="0.25">
      <c r="D44" s="47" t="s">
        <v>7</v>
      </c>
      <c r="E44" s="47">
        <v>27</v>
      </c>
      <c r="F44" s="25">
        <v>43770</v>
      </c>
      <c r="G44" s="23">
        <v>59.656300000000002</v>
      </c>
      <c r="H44" s="34">
        <v>0.11713825583790571</v>
      </c>
      <c r="S44" s="11">
        <v>26</v>
      </c>
      <c r="T44" s="4">
        <v>90.631921194923166</v>
      </c>
      <c r="U44" s="7">
        <v>-8.921795603534155E-2</v>
      </c>
    </row>
    <row r="45" spans="4:21" x14ac:dyDescent="0.25">
      <c r="D45" s="47" t="s">
        <v>7</v>
      </c>
      <c r="E45" s="47">
        <v>28</v>
      </c>
      <c r="F45" s="25">
        <v>43739</v>
      </c>
      <c r="G45" s="23">
        <v>53.401000000000003</v>
      </c>
      <c r="H45" s="34">
        <v>9.2657235342502808E-2</v>
      </c>
      <c r="S45" s="11">
        <v>27</v>
      </c>
      <c r="T45" s="4">
        <v>127.53127787182743</v>
      </c>
      <c r="U45" s="7">
        <v>0.28159258237189655</v>
      </c>
    </row>
    <row r="46" spans="4:21" x14ac:dyDescent="0.25">
      <c r="D46" s="47" t="s">
        <v>7</v>
      </c>
      <c r="E46" s="47">
        <v>29</v>
      </c>
      <c r="F46" s="25">
        <v>43709</v>
      </c>
      <c r="G46" s="23">
        <v>48.872599999999998</v>
      </c>
      <c r="H46" s="34">
        <v>-1.7997399951374726E-2</v>
      </c>
      <c r="S46" s="11">
        <v>28</v>
      </c>
      <c r="T46" s="4">
        <v>167.93743663203605</v>
      </c>
      <c r="U46" s="7">
        <v>0.68764382104347344</v>
      </c>
    </row>
    <row r="47" spans="4:21" x14ac:dyDescent="0.25">
      <c r="D47" s="47" t="s">
        <v>7</v>
      </c>
      <c r="E47" s="47">
        <v>30</v>
      </c>
      <c r="F47" s="25">
        <v>43678</v>
      </c>
      <c r="G47" s="23">
        <v>49.768300000000004</v>
      </c>
      <c r="H47" s="34">
        <v>-2.1620622747851703E-2</v>
      </c>
      <c r="S47" s="11">
        <v>29</v>
      </c>
      <c r="T47" s="4">
        <v>190.02801373523548</v>
      </c>
      <c r="U47" s="7">
        <v>0.90963736041840493</v>
      </c>
    </row>
    <row r="48" spans="4:21" x14ac:dyDescent="0.25">
      <c r="D48" s="47" t="s">
        <v>7</v>
      </c>
      <c r="E48" s="47">
        <v>31</v>
      </c>
      <c r="F48" s="25">
        <v>43647</v>
      </c>
      <c r="G48" s="23">
        <v>50.868099999999998</v>
      </c>
      <c r="H48" s="34">
        <v>-2.6959973219836564E-2</v>
      </c>
      <c r="S48" s="11">
        <v>30</v>
      </c>
      <c r="T48" s="4">
        <v>110.33231151781024</v>
      </c>
      <c r="U48" s="7">
        <v>0.10875601967450743</v>
      </c>
    </row>
    <row r="49" spans="4:21" x14ac:dyDescent="0.25">
      <c r="D49" s="47" t="s">
        <v>7</v>
      </c>
      <c r="E49" s="47">
        <v>32</v>
      </c>
      <c r="F49" s="25">
        <v>43617</v>
      </c>
      <c r="G49" s="23">
        <v>52.277500000000003</v>
      </c>
      <c r="H49" s="34">
        <v>0.13528521387511705</v>
      </c>
      <c r="S49" s="11">
        <v>31</v>
      </c>
      <c r="T49" s="4">
        <v>201.77417701190157</v>
      </c>
      <c r="U49" s="7">
        <v>1.0276773893267164</v>
      </c>
    </row>
    <row r="50" spans="4:21" x14ac:dyDescent="0.25">
      <c r="D50" s="47" t="s">
        <v>7</v>
      </c>
      <c r="E50" s="47">
        <v>33</v>
      </c>
      <c r="F50" s="25">
        <v>43586</v>
      </c>
      <c r="G50" s="23">
        <v>46.047899999999998</v>
      </c>
      <c r="H50" s="34">
        <v>-5.7206912083862305E-2</v>
      </c>
      <c r="S50" s="11">
        <v>32</v>
      </c>
      <c r="T50" s="4">
        <v>80.205306692384724</v>
      </c>
      <c r="U50" s="7">
        <v>-0.19399752092870348</v>
      </c>
    </row>
    <row r="51" spans="4:21" x14ac:dyDescent="0.25">
      <c r="D51" s="47" t="s">
        <v>7</v>
      </c>
      <c r="E51" s="47">
        <v>34</v>
      </c>
      <c r="F51" s="25">
        <v>43556</v>
      </c>
      <c r="G51" s="23">
        <v>48.841999999999999</v>
      </c>
      <c r="H51" s="34">
        <v>-5.914941651930361E-2</v>
      </c>
      <c r="S51" s="11">
        <v>33</v>
      </c>
      <c r="T51" s="4">
        <v>83.046238250532383</v>
      </c>
      <c r="U51" s="7">
        <v>-0.16544831423442485</v>
      </c>
    </row>
    <row r="52" spans="4:21" x14ac:dyDescent="0.25">
      <c r="D52" s="47" t="s">
        <v>7</v>
      </c>
      <c r="E52" s="47">
        <v>35</v>
      </c>
      <c r="F52" s="25">
        <v>43525</v>
      </c>
      <c r="G52" s="23">
        <v>51.912599999999998</v>
      </c>
      <c r="H52" s="34">
        <v>3.1672293217026581E-3</v>
      </c>
      <c r="S52" s="11">
        <v>34</v>
      </c>
      <c r="T52" s="4">
        <v>95.125134150986653</v>
      </c>
      <c r="U52" s="7">
        <v>-4.4064574907178744E-2</v>
      </c>
    </row>
    <row r="53" spans="4:21" x14ac:dyDescent="0.25">
      <c r="D53" s="47" t="s">
        <v>7</v>
      </c>
      <c r="E53" s="47">
        <v>36</v>
      </c>
      <c r="F53" s="25">
        <v>43497</v>
      </c>
      <c r="G53" s="23">
        <v>51.748699999999999</v>
      </c>
      <c r="H53" s="34">
        <v>1.8374495719767792E-2</v>
      </c>
      <c r="S53" s="11">
        <v>35</v>
      </c>
      <c r="T53" s="4">
        <v>139.75940556287966</v>
      </c>
      <c r="U53" s="7">
        <v>0.40447598796984874</v>
      </c>
    </row>
    <row r="54" spans="4:21" x14ac:dyDescent="0.25">
      <c r="D54" s="47" t="s">
        <v>7</v>
      </c>
      <c r="E54" s="47">
        <v>37</v>
      </c>
      <c r="F54" s="25">
        <v>43466</v>
      </c>
      <c r="G54" s="23">
        <v>50.814999999999998</v>
      </c>
      <c r="H54" s="34">
        <v>0.12703077349598013</v>
      </c>
      <c r="S54" s="11">
        <v>36</v>
      </c>
      <c r="T54" s="4">
        <v>188.87961350316917</v>
      </c>
      <c r="U54" s="7">
        <v>0.89809680939774061</v>
      </c>
    </row>
    <row r="55" spans="4:21" x14ac:dyDescent="0.25">
      <c r="D55" s="47" t="s">
        <v>7</v>
      </c>
      <c r="E55" s="47">
        <v>38</v>
      </c>
      <c r="F55" s="25">
        <v>43435</v>
      </c>
      <c r="G55" s="23">
        <v>45.087499999999999</v>
      </c>
      <c r="H55" s="34">
        <v>-0.18901102063648811</v>
      </c>
      <c r="S55" s="11">
        <v>37</v>
      </c>
      <c r="T55" s="4">
        <v>205.32636323479312</v>
      </c>
      <c r="U55" s="7">
        <v>1.0633741657601559</v>
      </c>
    </row>
    <row r="56" spans="4:21" x14ac:dyDescent="0.25">
      <c r="D56" s="47" t="s">
        <v>7</v>
      </c>
      <c r="E56" s="47">
        <v>39</v>
      </c>
      <c r="F56" s="25">
        <v>43405</v>
      </c>
      <c r="G56" s="23">
        <v>55.595700000000001</v>
      </c>
      <c r="H56" s="34">
        <v>0.12968622367078897</v>
      </c>
      <c r="S56" s="11">
        <v>38</v>
      </c>
      <c r="T56" s="4">
        <v>159.35593229715002</v>
      </c>
      <c r="U56" s="7">
        <v>0.60140621341724465</v>
      </c>
    </row>
    <row r="57" spans="4:21" x14ac:dyDescent="0.25">
      <c r="D57" s="47" t="s">
        <v>7</v>
      </c>
      <c r="E57" s="47">
        <v>40</v>
      </c>
      <c r="F57" s="25">
        <v>43374</v>
      </c>
      <c r="G57" s="23">
        <v>49.2134</v>
      </c>
      <c r="H57" s="34">
        <v>-0.14511833934077389</v>
      </c>
      <c r="S57" s="11">
        <v>39</v>
      </c>
      <c r="T57" s="4">
        <v>132.62580100581633</v>
      </c>
      <c r="U57" s="7">
        <v>0.33278867456352446</v>
      </c>
    </row>
    <row r="58" spans="4:21" x14ac:dyDescent="0.25">
      <c r="D58" s="47" t="s">
        <v>7</v>
      </c>
      <c r="E58" s="47">
        <v>41</v>
      </c>
      <c r="F58" s="25">
        <v>43344</v>
      </c>
      <c r="G58" s="23">
        <v>57.567500000000003</v>
      </c>
      <c r="H58" s="34">
        <v>4.8953278827424507E-2</v>
      </c>
      <c r="S58" s="11">
        <v>40</v>
      </c>
      <c r="T58" s="4">
        <v>111.77102862718021</v>
      </c>
      <c r="U58" s="7">
        <v>0.12321403504351536</v>
      </c>
    </row>
    <row r="59" spans="4:21" x14ac:dyDescent="0.25">
      <c r="D59" s="47" t="s">
        <v>7</v>
      </c>
      <c r="E59" s="47">
        <v>42</v>
      </c>
      <c r="F59" s="25">
        <v>43313</v>
      </c>
      <c r="G59" s="23">
        <v>54.880899999999997</v>
      </c>
      <c r="H59" s="34">
        <v>8.7622746955479114E-2</v>
      </c>
      <c r="S59" s="11">
        <v>41</v>
      </c>
      <c r="T59" s="4">
        <v>108.77145632471041</v>
      </c>
      <c r="U59" s="7">
        <v>9.307060923234256E-2</v>
      </c>
    </row>
    <row r="60" spans="4:21" x14ac:dyDescent="0.25">
      <c r="D60" s="47" t="s">
        <v>7</v>
      </c>
      <c r="E60" s="47">
        <v>43</v>
      </c>
      <c r="F60" s="25">
        <v>43282</v>
      </c>
      <c r="G60" s="23">
        <v>50.459499999999998</v>
      </c>
      <c r="H60" s="34">
        <v>0.12758407243782677</v>
      </c>
      <c r="S60" s="11">
        <v>42</v>
      </c>
      <c r="T60" s="4">
        <v>99.917973908634139</v>
      </c>
      <c r="U60" s="7">
        <v>4.0998282447406442E-3</v>
      </c>
    </row>
    <row r="61" spans="4:21" x14ac:dyDescent="0.25">
      <c r="D61" s="47" t="s">
        <v>7</v>
      </c>
      <c r="E61" s="47">
        <v>44</v>
      </c>
      <c r="F61" s="25">
        <v>43252</v>
      </c>
      <c r="G61" s="23">
        <v>44.750100000000003</v>
      </c>
      <c r="H61" s="34">
        <v>3.4945223189196906E-2</v>
      </c>
      <c r="S61" s="11">
        <v>43</v>
      </c>
      <c r="T61" s="4">
        <v>166.07335780784743</v>
      </c>
      <c r="U61" s="7">
        <v>0.66891124317000727</v>
      </c>
    </row>
    <row r="62" spans="4:21" x14ac:dyDescent="0.25">
      <c r="D62" s="47" t="s">
        <v>7</v>
      </c>
      <c r="E62" s="47">
        <v>45</v>
      </c>
      <c r="F62" s="25">
        <v>43221</v>
      </c>
      <c r="G62" s="23">
        <v>43.239100000000001</v>
      </c>
      <c r="H62" s="34">
        <v>1.5829795631653099E-2</v>
      </c>
      <c r="S62" s="11">
        <v>44</v>
      </c>
      <c r="T62" s="4">
        <v>93.24712171827565</v>
      </c>
      <c r="U62" s="7">
        <v>-6.2937174974619148E-2</v>
      </c>
    </row>
    <row r="63" spans="4:21" x14ac:dyDescent="0.25">
      <c r="D63" s="47" t="s">
        <v>7</v>
      </c>
      <c r="E63" s="47">
        <v>46</v>
      </c>
      <c r="F63" s="25">
        <v>43191</v>
      </c>
      <c r="G63" s="23">
        <v>42.565300000000001</v>
      </c>
      <c r="H63" s="34">
        <v>3.292823201086037E-3</v>
      </c>
      <c r="S63" s="11">
        <v>45</v>
      </c>
      <c r="T63" s="4">
        <v>121.051958619613</v>
      </c>
      <c r="U63" s="7">
        <v>0.21648033986145099</v>
      </c>
    </row>
    <row r="64" spans="4:21" x14ac:dyDescent="0.25">
      <c r="D64" s="47" t="s">
        <v>7</v>
      </c>
      <c r="E64" s="47">
        <v>47</v>
      </c>
      <c r="F64" s="25">
        <v>43160</v>
      </c>
      <c r="G64" s="23">
        <v>42.425600000000003</v>
      </c>
      <c r="H64" s="34">
        <v>-5.2200293998060809E-2</v>
      </c>
      <c r="S64" s="11">
        <v>46</v>
      </c>
      <c r="T64" s="4">
        <v>98.498383240294558</v>
      </c>
      <c r="U64" s="7">
        <v>-1.0165980903481531E-2</v>
      </c>
    </row>
    <row r="65" spans="4:21" x14ac:dyDescent="0.25">
      <c r="D65" s="47" t="s">
        <v>7</v>
      </c>
      <c r="E65" s="47">
        <v>48</v>
      </c>
      <c r="F65" s="25">
        <v>43132</v>
      </c>
      <c r="G65" s="23">
        <v>44.7622</v>
      </c>
      <c r="H65" s="34">
        <v>-8.8875092868701544E-2</v>
      </c>
      <c r="S65" s="11">
        <v>47</v>
      </c>
      <c r="T65" s="4">
        <v>136.16275587764656</v>
      </c>
      <c r="U65" s="7">
        <v>0.36833238747509345</v>
      </c>
    </row>
    <row r="66" spans="4:21" x14ac:dyDescent="0.25">
      <c r="D66" s="47" t="s">
        <v>7</v>
      </c>
      <c r="E66" s="47">
        <v>49</v>
      </c>
      <c r="F66" s="25">
        <v>43101</v>
      </c>
      <c r="G66" s="23">
        <v>49.128500000000003</v>
      </c>
      <c r="H66" s="34">
        <v>0.1259405087398846</v>
      </c>
      <c r="S66" s="11">
        <v>48</v>
      </c>
      <c r="T66" s="4">
        <v>135.04177008114016</v>
      </c>
      <c r="U66" s="7">
        <v>0.35706733073198826</v>
      </c>
    </row>
    <row r="67" spans="4:21" x14ac:dyDescent="0.25">
      <c r="D67" s="47" t="s">
        <v>7</v>
      </c>
      <c r="E67" s="47">
        <v>50</v>
      </c>
      <c r="F67" s="25">
        <v>43070</v>
      </c>
      <c r="G67" s="23">
        <v>43.633299999999998</v>
      </c>
      <c r="H67" s="34">
        <v>-1.0872103171634673E-2</v>
      </c>
      <c r="S67" s="11">
        <v>49</v>
      </c>
      <c r="T67" s="4">
        <v>116.45475115591286</v>
      </c>
      <c r="U67" s="7">
        <v>0.17028189283401529</v>
      </c>
    </row>
    <row r="68" spans="4:21" x14ac:dyDescent="0.25">
      <c r="D68" s="47" t="s">
        <v>7</v>
      </c>
      <c r="E68" s="47">
        <v>51</v>
      </c>
      <c r="F68" s="25">
        <v>43040</v>
      </c>
      <c r="G68" s="23">
        <v>44.112900000000003</v>
      </c>
      <c r="H68" s="34">
        <v>6.2782181318813857E-2</v>
      </c>
      <c r="S68" s="11">
        <v>50</v>
      </c>
      <c r="T68" s="4">
        <v>88.936158260068638</v>
      </c>
      <c r="U68" s="7">
        <v>-0.10625908692524744</v>
      </c>
    </row>
    <row r="69" spans="4:21" x14ac:dyDescent="0.25">
      <c r="D69" s="47" t="s">
        <v>7</v>
      </c>
      <c r="E69" s="47">
        <v>52</v>
      </c>
      <c r="F69" s="25">
        <v>43009</v>
      </c>
      <c r="G69" s="23">
        <v>41.506999999999998</v>
      </c>
      <c r="H69" s="34">
        <v>-1.8131926620696182E-2</v>
      </c>
      <c r="S69" s="11">
        <v>51</v>
      </c>
      <c r="T69" s="4">
        <v>104.29174101295962</v>
      </c>
      <c r="U69" s="7">
        <v>4.8052869188620395E-2</v>
      </c>
    </row>
    <row r="70" spans="4:21" x14ac:dyDescent="0.25">
      <c r="D70" s="47" t="s">
        <v>7</v>
      </c>
      <c r="E70" s="47">
        <v>53</v>
      </c>
      <c r="F70" s="25">
        <v>42979</v>
      </c>
      <c r="G70" s="23">
        <v>42.273499999999999</v>
      </c>
      <c r="H70" s="34">
        <v>1.7496016521207469E-2</v>
      </c>
      <c r="S70" s="11">
        <v>52</v>
      </c>
      <c r="T70" s="4">
        <v>123.8486488621883</v>
      </c>
      <c r="U70" s="7">
        <v>0.24458495490089738</v>
      </c>
    </row>
    <row r="71" spans="4:21" x14ac:dyDescent="0.25">
      <c r="D71" s="47" t="s">
        <v>7</v>
      </c>
      <c r="E71" s="47">
        <v>54</v>
      </c>
      <c r="F71" s="25">
        <v>42948</v>
      </c>
      <c r="G71" s="23">
        <v>41.546599999999998</v>
      </c>
      <c r="H71" s="34">
        <v>3.8823420571637124E-2</v>
      </c>
      <c r="S71" s="11">
        <v>53</v>
      </c>
      <c r="T71" s="4">
        <v>146.95799652090275</v>
      </c>
      <c r="U71" s="7">
        <v>0.47681636539948502</v>
      </c>
    </row>
    <row r="72" spans="4:21" x14ac:dyDescent="0.25">
      <c r="D72" s="47" t="s">
        <v>7</v>
      </c>
      <c r="E72" s="47">
        <v>55</v>
      </c>
      <c r="F72" s="25">
        <v>42917</v>
      </c>
      <c r="G72" s="23">
        <v>39.993899999999996</v>
      </c>
      <c r="H72" s="34">
        <v>1.1001372643691498E-2</v>
      </c>
      <c r="S72" s="11">
        <v>54</v>
      </c>
      <c r="T72" s="4">
        <v>96.174108261987158</v>
      </c>
      <c r="U72" s="7">
        <v>-3.3523180966866128E-2</v>
      </c>
    </row>
    <row r="73" spans="4:21" x14ac:dyDescent="0.25">
      <c r="D73" s="47" t="s">
        <v>7</v>
      </c>
      <c r="E73" s="47">
        <v>56</v>
      </c>
      <c r="F73" s="25">
        <v>42887</v>
      </c>
      <c r="G73" s="23">
        <v>39.558700000000002</v>
      </c>
      <c r="H73" s="34">
        <v>0.10177554345555584</v>
      </c>
      <c r="S73" s="11">
        <v>55</v>
      </c>
      <c r="T73" s="4">
        <v>228.05020023615555</v>
      </c>
      <c r="U73" s="7">
        <v>1.2917314866461211</v>
      </c>
    </row>
    <row r="74" spans="4:21" x14ac:dyDescent="0.25">
      <c r="D74" s="47" t="s">
        <v>7</v>
      </c>
      <c r="E74" s="47">
        <v>57</v>
      </c>
      <c r="F74" s="25">
        <v>42856</v>
      </c>
      <c r="G74" s="23">
        <v>35.904499999999999</v>
      </c>
      <c r="H74" s="34">
        <v>-5.5115896482338389E-4</v>
      </c>
      <c r="S74" s="11">
        <v>56</v>
      </c>
      <c r="T74" s="4">
        <v>96.517933887536685</v>
      </c>
      <c r="U74" s="7">
        <v>-3.006799429668694E-2</v>
      </c>
    </row>
    <row r="75" spans="4:21" x14ac:dyDescent="0.25">
      <c r="D75" s="47" t="s">
        <v>7</v>
      </c>
      <c r="E75" s="47">
        <v>58</v>
      </c>
      <c r="F75" s="25">
        <v>42826</v>
      </c>
      <c r="G75" s="23">
        <v>35.924300000000002</v>
      </c>
      <c r="H75" s="34">
        <v>3.5491309486063605E-2</v>
      </c>
      <c r="S75" s="11">
        <v>57</v>
      </c>
      <c r="T75" s="4">
        <v>111.87441180706551</v>
      </c>
      <c r="U75" s="7">
        <v>0.12425295756271226</v>
      </c>
    </row>
    <row r="76" spans="4:21" x14ac:dyDescent="0.25">
      <c r="D76" s="47" t="s">
        <v>7</v>
      </c>
      <c r="E76" s="47">
        <v>59</v>
      </c>
      <c r="F76" s="25">
        <v>42795</v>
      </c>
      <c r="G76" s="23">
        <v>34.692999999999998</v>
      </c>
      <c r="H76" s="34">
        <v>-1.7368054336065586E-2</v>
      </c>
      <c r="S76" s="11">
        <v>58</v>
      </c>
      <c r="T76" s="4">
        <v>143.12189008190037</v>
      </c>
      <c r="U76" s="7">
        <v>0.43826640620942992</v>
      </c>
    </row>
    <row r="77" spans="4:21" x14ac:dyDescent="0.25">
      <c r="D77" s="47" t="s">
        <v>7</v>
      </c>
      <c r="E77" s="47">
        <v>60</v>
      </c>
      <c r="F77" s="25">
        <v>42767</v>
      </c>
      <c r="G77" s="23">
        <v>35.306199999999997</v>
      </c>
      <c r="H77" s="34">
        <v>0.1456988671579651</v>
      </c>
      <c r="S77" s="11">
        <v>59</v>
      </c>
      <c r="T77" s="4">
        <v>148.74185027294163</v>
      </c>
      <c r="U77" s="7">
        <v>0.49474274216602976</v>
      </c>
    </row>
    <row r="78" spans="4:21" x14ac:dyDescent="0.25">
      <c r="S78" s="11">
        <v>60</v>
      </c>
      <c r="T78" s="4">
        <v>196.32038448212901</v>
      </c>
      <c r="U78" s="7">
        <v>0.97287091229151845</v>
      </c>
    </row>
    <row r="79" spans="4:21" x14ac:dyDescent="0.25">
      <c r="S79" s="11">
        <v>61</v>
      </c>
      <c r="T79" s="4">
        <v>88.327217542237932</v>
      </c>
      <c r="U79" s="7">
        <v>-0.11237847912533483</v>
      </c>
    </row>
    <row r="80" spans="4:21" x14ac:dyDescent="0.25">
      <c r="S80" s="11">
        <v>62</v>
      </c>
      <c r="T80" s="4">
        <v>117.66434455122473</v>
      </c>
      <c r="U80" s="7">
        <v>0.18243738871696036</v>
      </c>
    </row>
    <row r="81" spans="19:21" x14ac:dyDescent="0.25">
      <c r="S81" s="11">
        <v>63</v>
      </c>
      <c r="T81" s="4">
        <v>133.76139535155352</v>
      </c>
      <c r="U81" s="7">
        <v>0.34420053614263391</v>
      </c>
    </row>
    <row r="82" spans="19:21" x14ac:dyDescent="0.25">
      <c r="S82" s="11">
        <v>64</v>
      </c>
      <c r="T82" s="4">
        <v>119.61227733924503</v>
      </c>
      <c r="U82" s="7">
        <v>0.20201263530544677</v>
      </c>
    </row>
    <row r="83" spans="19:21" x14ac:dyDescent="0.25">
      <c r="S83" s="11">
        <v>65</v>
      </c>
      <c r="T83" s="4">
        <v>133.81021572053459</v>
      </c>
      <c r="U83" s="7">
        <v>0.34469114381001487</v>
      </c>
    </row>
    <row r="84" spans="19:21" x14ac:dyDescent="0.25">
      <c r="S84" s="11">
        <v>66</v>
      </c>
      <c r="T84" s="4">
        <v>179.39841602988017</v>
      </c>
      <c r="U84" s="7">
        <v>0.80281796834368557</v>
      </c>
    </row>
    <row r="85" spans="19:21" x14ac:dyDescent="0.25">
      <c r="S85" s="11">
        <v>67</v>
      </c>
      <c r="T85" s="4">
        <v>80.441175912485519</v>
      </c>
      <c r="U85" s="7">
        <v>-0.19162721422484663</v>
      </c>
    </row>
    <row r="86" spans="19:21" x14ac:dyDescent="0.25">
      <c r="S86" s="11">
        <v>68</v>
      </c>
      <c r="T86" s="4">
        <v>60.849525901804029</v>
      </c>
      <c r="U86" s="7">
        <v>-0.38850843230023091</v>
      </c>
    </row>
    <row r="87" spans="19:21" x14ac:dyDescent="0.25">
      <c r="S87" s="11">
        <v>69</v>
      </c>
      <c r="T87" s="4">
        <v>131.42475169859114</v>
      </c>
      <c r="U87" s="7">
        <v>0.32071904028329956</v>
      </c>
    </row>
    <row r="88" spans="19:21" x14ac:dyDescent="0.25">
      <c r="S88" s="11">
        <v>70</v>
      </c>
      <c r="T88" s="4">
        <v>131.15992876467539</v>
      </c>
      <c r="U88" s="7">
        <v>0.31805777072329788</v>
      </c>
    </row>
    <row r="89" spans="19:21" x14ac:dyDescent="0.25">
      <c r="S89" s="11">
        <v>71</v>
      </c>
      <c r="T89" s="4">
        <v>147.18191890412058</v>
      </c>
      <c r="U89" s="7">
        <v>0.47906661545694473</v>
      </c>
    </row>
    <row r="90" spans="19:21" x14ac:dyDescent="0.25">
      <c r="S90" s="11">
        <v>72</v>
      </c>
      <c r="T90" s="4">
        <v>114.51242356113252</v>
      </c>
      <c r="U90" s="7">
        <v>0.15076297418483087</v>
      </c>
    </row>
    <row r="91" spans="19:21" x14ac:dyDescent="0.25">
      <c r="S91" s="11">
        <v>73</v>
      </c>
      <c r="T91" s="4">
        <v>54.08303758053794</v>
      </c>
      <c r="U91" s="7">
        <v>-0.45650650607438514</v>
      </c>
    </row>
    <row r="92" spans="19:21" x14ac:dyDescent="0.25">
      <c r="S92" s="11">
        <v>74</v>
      </c>
      <c r="T92" s="4">
        <v>89.805946533928534</v>
      </c>
      <c r="U92" s="7">
        <v>-9.7518374696728638E-2</v>
      </c>
    </row>
    <row r="93" spans="19:21" x14ac:dyDescent="0.25">
      <c r="S93" s="11">
        <v>75</v>
      </c>
      <c r="T93" s="4">
        <v>131.07785469954439</v>
      </c>
      <c r="U93" s="7">
        <v>0.31723298863977867</v>
      </c>
    </row>
    <row r="94" spans="19:21" x14ac:dyDescent="0.25">
      <c r="S94" s="11">
        <v>76</v>
      </c>
      <c r="T94" s="4">
        <v>130.08914494122001</v>
      </c>
      <c r="U94" s="7">
        <v>0.30729720572022923</v>
      </c>
    </row>
    <row r="95" spans="19:21" x14ac:dyDescent="0.25">
      <c r="S95" s="11">
        <v>77</v>
      </c>
      <c r="T95" s="4">
        <v>102.49516075678906</v>
      </c>
      <c r="U95" s="7">
        <v>2.9998600711376389E-2</v>
      </c>
    </row>
    <row r="96" spans="19:21" x14ac:dyDescent="0.25">
      <c r="S96" s="11">
        <v>78</v>
      </c>
      <c r="T96" s="4">
        <v>145.71371247318055</v>
      </c>
      <c r="U96" s="7">
        <v>0.46431225478022853</v>
      </c>
    </row>
    <row r="97" spans="19:21" x14ac:dyDescent="0.25">
      <c r="S97" s="11">
        <v>79</v>
      </c>
      <c r="T97" s="4">
        <v>153.0574547494121</v>
      </c>
      <c r="U97" s="7">
        <v>0.53811129282898307</v>
      </c>
    </row>
    <row r="98" spans="19:21" x14ac:dyDescent="0.25">
      <c r="S98" s="11">
        <v>80</v>
      </c>
      <c r="T98" s="4">
        <v>101.02610291441859</v>
      </c>
      <c r="U98" s="7">
        <v>1.5235683995765026E-2</v>
      </c>
    </row>
    <row r="99" spans="19:21" x14ac:dyDescent="0.25">
      <c r="S99" s="11">
        <v>81</v>
      </c>
      <c r="T99" s="4">
        <v>182.94416703768115</v>
      </c>
      <c r="U99" s="7">
        <v>0.83845007574797648</v>
      </c>
    </row>
    <row r="100" spans="19:21" x14ac:dyDescent="0.25">
      <c r="S100" s="11">
        <v>82</v>
      </c>
      <c r="T100" s="4">
        <v>135.22152537211534</v>
      </c>
      <c r="U100" s="7">
        <v>0.35887373502276487</v>
      </c>
    </row>
    <row r="101" spans="19:21" x14ac:dyDescent="0.25">
      <c r="S101" s="11">
        <v>83</v>
      </c>
      <c r="T101" s="4">
        <v>99.84351802842464</v>
      </c>
      <c r="U101" s="7">
        <v>3.3516031396305657E-3</v>
      </c>
    </row>
    <row r="102" spans="19:21" x14ac:dyDescent="0.25">
      <c r="S102" s="11">
        <v>84</v>
      </c>
      <c r="T102" s="4">
        <v>103.75833619014259</v>
      </c>
      <c r="U102" s="7">
        <v>4.2692555422998435E-2</v>
      </c>
    </row>
    <row r="103" spans="19:21" x14ac:dyDescent="0.25">
      <c r="S103" s="11">
        <v>85</v>
      </c>
      <c r="T103" s="4">
        <v>193.12600201580275</v>
      </c>
      <c r="U103" s="7">
        <v>0.94076979213951106</v>
      </c>
    </row>
    <row r="104" spans="19:21" x14ac:dyDescent="0.25">
      <c r="S104" s="11">
        <v>86</v>
      </c>
      <c r="T104" s="4">
        <v>140.66476318852651</v>
      </c>
      <c r="U104" s="7">
        <v>0.41357414519672897</v>
      </c>
    </row>
    <row r="105" spans="19:21" x14ac:dyDescent="0.25">
      <c r="S105" s="11">
        <v>87</v>
      </c>
      <c r="T105" s="4">
        <v>196.86755687784574</v>
      </c>
      <c r="U105" s="7">
        <v>0.97836957971908078</v>
      </c>
    </row>
    <row r="106" spans="19:21" x14ac:dyDescent="0.25">
      <c r="S106" s="11">
        <v>88</v>
      </c>
      <c r="T106" s="4">
        <v>117.95300025949069</v>
      </c>
      <c r="U106" s="7">
        <v>0.18533815957683331</v>
      </c>
    </row>
    <row r="107" spans="19:21" x14ac:dyDescent="0.25">
      <c r="S107" s="11">
        <v>89</v>
      </c>
      <c r="T107" s="4">
        <v>124.82020017767033</v>
      </c>
      <c r="U107" s="7">
        <v>0.25434830848829582</v>
      </c>
    </row>
    <row r="108" spans="19:21" x14ac:dyDescent="0.25">
      <c r="S108" s="11">
        <v>90</v>
      </c>
      <c r="T108" s="4">
        <v>129.5897316983839</v>
      </c>
      <c r="U108" s="7">
        <v>0.30227848154340164</v>
      </c>
    </row>
    <row r="109" spans="19:21" x14ac:dyDescent="0.25">
      <c r="S109" s="11">
        <v>91</v>
      </c>
      <c r="T109" s="4">
        <v>113.9189432392545</v>
      </c>
      <c r="U109" s="7">
        <v>0.14479894723399145</v>
      </c>
    </row>
    <row r="110" spans="19:21" x14ac:dyDescent="0.25">
      <c r="S110" s="11">
        <v>92</v>
      </c>
      <c r="T110" s="4">
        <v>117.75645840899195</v>
      </c>
      <c r="U110" s="7">
        <v>0.18336306309910499</v>
      </c>
    </row>
    <row r="111" spans="19:21" x14ac:dyDescent="0.25">
      <c r="S111" s="11">
        <v>93</v>
      </c>
      <c r="T111" s="4">
        <v>104.22487696326344</v>
      </c>
      <c r="U111" s="7">
        <v>4.7380936220112968E-2</v>
      </c>
    </row>
    <row r="112" spans="19:21" x14ac:dyDescent="0.25">
      <c r="S112" s="11">
        <v>94</v>
      </c>
      <c r="T112" s="4">
        <v>131.9185378640731</v>
      </c>
      <c r="U112" s="7">
        <v>0.32568121660208105</v>
      </c>
    </row>
    <row r="113" spans="19:21" x14ac:dyDescent="0.25">
      <c r="S113" s="11">
        <v>95</v>
      </c>
      <c r="T113" s="4">
        <v>123.16215899482215</v>
      </c>
      <c r="U113" s="7">
        <v>0.23768625258589227</v>
      </c>
    </row>
    <row r="114" spans="19:21" x14ac:dyDescent="0.25">
      <c r="S114" s="11">
        <v>96</v>
      </c>
      <c r="T114" s="4">
        <v>149.83116645996154</v>
      </c>
      <c r="U114" s="7">
        <v>0.5056895433620896</v>
      </c>
    </row>
    <row r="115" spans="19:21" x14ac:dyDescent="0.25">
      <c r="S115" s="11">
        <v>97</v>
      </c>
      <c r="T115" s="4">
        <v>185.35673542430453</v>
      </c>
      <c r="U115" s="7">
        <v>0.86269455757516345</v>
      </c>
    </row>
    <row r="116" spans="19:21" x14ac:dyDescent="0.25">
      <c r="S116" s="11">
        <v>98</v>
      </c>
      <c r="T116" s="4">
        <v>129.94037419775967</v>
      </c>
      <c r="U116" s="7">
        <v>0.30580217262345144</v>
      </c>
    </row>
    <row r="117" spans="19:21" x14ac:dyDescent="0.25">
      <c r="S117" s="11">
        <v>99</v>
      </c>
      <c r="T117" s="4">
        <v>211.9354292887578</v>
      </c>
      <c r="U117" s="7">
        <v>1.129790265186994</v>
      </c>
    </row>
    <row r="118" spans="19:21" x14ac:dyDescent="0.25">
      <c r="S118" s="11">
        <v>100</v>
      </c>
      <c r="T118" s="4">
        <v>115.34232548416642</v>
      </c>
      <c r="U118" s="7">
        <v>0.15910285885002939</v>
      </c>
    </row>
    <row r="119" spans="19:21" x14ac:dyDescent="0.25">
      <c r="S119" s="11">
        <v>101</v>
      </c>
      <c r="T119" s="4">
        <v>163.25941189293232</v>
      </c>
      <c r="U119" s="7">
        <v>0.64063322171573023</v>
      </c>
    </row>
    <row r="120" spans="19:21" x14ac:dyDescent="0.25">
      <c r="S120" s="11">
        <v>102</v>
      </c>
      <c r="T120" s="4">
        <v>92.612854981936579</v>
      </c>
      <c r="U120" s="7">
        <v>-6.9311074445416843E-2</v>
      </c>
    </row>
    <row r="121" spans="19:21" x14ac:dyDescent="0.25">
      <c r="S121" s="11">
        <v>103</v>
      </c>
      <c r="T121" s="4">
        <v>123.8383775281617</v>
      </c>
      <c r="U121" s="7">
        <v>0.24448173578697308</v>
      </c>
    </row>
    <row r="122" spans="19:21" x14ac:dyDescent="0.25">
      <c r="S122" s="11">
        <v>104</v>
      </c>
      <c r="T122" s="4">
        <v>74.850387468700518</v>
      </c>
      <c r="U122" s="7">
        <v>-0.24781039625464263</v>
      </c>
    </row>
    <row r="123" spans="19:21" x14ac:dyDescent="0.25">
      <c r="S123" s="11">
        <v>105</v>
      </c>
      <c r="T123" s="4">
        <v>113.93558719426602</v>
      </c>
      <c r="U123" s="7">
        <v>0.14496620635379376</v>
      </c>
    </row>
    <row r="124" spans="19:21" x14ac:dyDescent="0.25">
      <c r="S124" s="11">
        <v>106</v>
      </c>
      <c r="T124" s="4">
        <v>139.05736908304377</v>
      </c>
      <c r="U124" s="7">
        <v>0.39742105399501315</v>
      </c>
    </row>
    <row r="125" spans="19:21" x14ac:dyDescent="0.25">
      <c r="S125" s="11">
        <v>107</v>
      </c>
      <c r="T125" s="4">
        <v>69.107124135854221</v>
      </c>
      <c r="U125" s="7">
        <v>-0.30552583523410493</v>
      </c>
    </row>
    <row r="126" spans="19:21" x14ac:dyDescent="0.25">
      <c r="S126" s="11">
        <v>108</v>
      </c>
      <c r="T126" s="4">
        <v>78.89515247941064</v>
      </c>
      <c r="U126" s="7">
        <v>-0.20716357673187979</v>
      </c>
    </row>
    <row r="127" spans="19:21" x14ac:dyDescent="0.25">
      <c r="S127" s="11">
        <v>109</v>
      </c>
      <c r="T127" s="4">
        <v>115.09939745139778</v>
      </c>
      <c r="U127" s="7">
        <v>0.15666161643450671</v>
      </c>
    </row>
    <row r="128" spans="19:21" x14ac:dyDescent="0.25">
      <c r="S128" s="11">
        <v>110</v>
      </c>
      <c r="T128" s="4">
        <v>154.31842028306187</v>
      </c>
      <c r="U128" s="7">
        <v>0.55078303972527243</v>
      </c>
    </row>
    <row r="129" spans="19:21" x14ac:dyDescent="0.25">
      <c r="S129" s="11">
        <v>111</v>
      </c>
      <c r="T129" s="4">
        <v>71.171270701680228</v>
      </c>
      <c r="U129" s="7">
        <v>-0.28478272835212315</v>
      </c>
    </row>
    <row r="130" spans="19:21" x14ac:dyDescent="0.25">
      <c r="S130" s="11">
        <v>112</v>
      </c>
      <c r="T130" s="4">
        <v>176.00136881251666</v>
      </c>
      <c r="U130" s="7">
        <v>0.76868022120909107</v>
      </c>
    </row>
    <row r="131" spans="19:21" x14ac:dyDescent="0.25">
      <c r="S131" s="11">
        <v>113</v>
      </c>
      <c r="T131" s="4">
        <v>93.010415435656839</v>
      </c>
      <c r="U131" s="7">
        <v>-6.5315893521687984E-2</v>
      </c>
    </row>
    <row r="132" spans="19:21" x14ac:dyDescent="0.25">
      <c r="S132" s="11">
        <v>114</v>
      </c>
      <c r="T132" s="4">
        <v>203.85961858011433</v>
      </c>
      <c r="U132" s="7">
        <v>1.0486344948257895</v>
      </c>
    </row>
    <row r="133" spans="19:21" x14ac:dyDescent="0.25">
      <c r="S133" s="11">
        <v>115</v>
      </c>
      <c r="T133" s="4">
        <v>113.82207807777503</v>
      </c>
      <c r="U133" s="7">
        <v>0.14382552585443698</v>
      </c>
    </row>
    <row r="134" spans="19:21" x14ac:dyDescent="0.25">
      <c r="S134" s="11">
        <v>116</v>
      </c>
      <c r="T134" s="4">
        <v>158.66398877765982</v>
      </c>
      <c r="U134" s="7">
        <v>0.5944527060361755</v>
      </c>
    </row>
    <row r="135" spans="19:21" x14ac:dyDescent="0.25">
      <c r="S135" s="11">
        <v>117</v>
      </c>
      <c r="T135" s="4">
        <v>121.34819892360117</v>
      </c>
      <c r="U135" s="7">
        <v>0.21945733015376523</v>
      </c>
    </row>
    <row r="136" spans="19:21" x14ac:dyDescent="0.25">
      <c r="S136" s="11">
        <v>118</v>
      </c>
      <c r="T136" s="4">
        <v>237.17234635247712</v>
      </c>
      <c r="U136" s="7">
        <v>1.3834021339812792</v>
      </c>
    </row>
    <row r="137" spans="19:21" x14ac:dyDescent="0.25">
      <c r="S137" s="11">
        <v>119</v>
      </c>
      <c r="T137" s="4">
        <v>108.51718473545509</v>
      </c>
      <c r="U137" s="7">
        <v>9.0515372680686212E-2</v>
      </c>
    </row>
    <row r="138" spans="19:21" x14ac:dyDescent="0.25">
      <c r="S138" s="11">
        <v>120</v>
      </c>
      <c r="T138" s="4">
        <v>82.84555309018161</v>
      </c>
      <c r="U138" s="7">
        <v>-0.16746504783256355</v>
      </c>
    </row>
    <row r="139" spans="19:21" x14ac:dyDescent="0.25">
      <c r="S139" s="11">
        <v>121</v>
      </c>
      <c r="T139" s="4">
        <v>91.531210784678194</v>
      </c>
      <c r="U139" s="7">
        <v>-8.0180777965247807E-2</v>
      </c>
    </row>
    <row r="140" spans="19:21" x14ac:dyDescent="0.25">
      <c r="S140" s="11">
        <v>122</v>
      </c>
      <c r="T140" s="4">
        <v>149.59544444628148</v>
      </c>
      <c r="U140" s="7">
        <v>0.50332071597107286</v>
      </c>
    </row>
    <row r="141" spans="19:21" x14ac:dyDescent="0.25">
      <c r="S141" s="11">
        <v>123</v>
      </c>
      <c r="T141" s="4">
        <v>210.18500882372146</v>
      </c>
      <c r="U141" s="7">
        <v>1.1121998675883975</v>
      </c>
    </row>
    <row r="142" spans="19:21" x14ac:dyDescent="0.25">
      <c r="S142" s="11">
        <v>124</v>
      </c>
      <c r="T142" s="4">
        <v>151.76700796180322</v>
      </c>
      <c r="U142" s="7">
        <v>0.52514328169835411</v>
      </c>
    </row>
    <row r="143" spans="19:21" x14ac:dyDescent="0.25">
      <c r="S143" s="11">
        <v>125</v>
      </c>
      <c r="T143" s="4">
        <v>131.00173223309051</v>
      </c>
      <c r="U143" s="7">
        <v>0.31646801560738114</v>
      </c>
    </row>
    <row r="144" spans="19:21" x14ac:dyDescent="0.25">
      <c r="S144" s="11">
        <v>126</v>
      </c>
      <c r="T144" s="4">
        <v>142.2124782236061</v>
      </c>
      <c r="U144" s="7">
        <v>0.42912750702046121</v>
      </c>
    </row>
    <row r="145" spans="19:21" x14ac:dyDescent="0.25">
      <c r="S145" s="11">
        <v>127</v>
      </c>
      <c r="T145" s="4">
        <v>211.27664996536797</v>
      </c>
      <c r="U145" s="7">
        <v>1.1231700328144703</v>
      </c>
    </row>
    <row r="146" spans="19:21" x14ac:dyDescent="0.25">
      <c r="S146" s="11">
        <v>128</v>
      </c>
      <c r="T146" s="4">
        <v>141.96833526579778</v>
      </c>
      <c r="U146" s="7">
        <v>0.42667405553007498</v>
      </c>
    </row>
    <row r="147" spans="19:21" x14ac:dyDescent="0.25">
      <c r="S147" s="11">
        <v>129</v>
      </c>
      <c r="T147" s="4">
        <v>127.74445868123269</v>
      </c>
      <c r="U147" s="7">
        <v>0.28373488776236244</v>
      </c>
    </row>
    <row r="148" spans="19:21" x14ac:dyDescent="0.25">
      <c r="S148" s="11">
        <v>130</v>
      </c>
      <c r="T148" s="4">
        <v>78.741266163815354</v>
      </c>
      <c r="U148" s="7">
        <v>-0.20871001744733841</v>
      </c>
    </row>
    <row r="149" spans="19:21" x14ac:dyDescent="0.25">
      <c r="S149" s="11">
        <v>131</v>
      </c>
      <c r="T149" s="4">
        <v>133.14948799919213</v>
      </c>
      <c r="U149" s="7">
        <v>0.33805133151635136</v>
      </c>
    </row>
    <row r="150" spans="19:21" x14ac:dyDescent="0.25">
      <c r="S150" s="11">
        <v>132</v>
      </c>
      <c r="T150" s="4">
        <v>178.93030827444287</v>
      </c>
      <c r="U150" s="7">
        <v>0.79811384056318824</v>
      </c>
    </row>
    <row r="151" spans="19:21" x14ac:dyDescent="0.25">
      <c r="S151" s="11">
        <v>133</v>
      </c>
      <c r="T151" s="4">
        <v>145.84739131739565</v>
      </c>
      <c r="U151" s="7">
        <v>0.46565562574008279</v>
      </c>
    </row>
    <row r="152" spans="19:21" x14ac:dyDescent="0.25">
      <c r="S152" s="11">
        <v>134</v>
      </c>
      <c r="T152" s="4">
        <v>106.89269522238692</v>
      </c>
      <c r="U152" s="7">
        <v>7.4190485603325529E-2</v>
      </c>
    </row>
    <row r="153" spans="19:21" x14ac:dyDescent="0.25">
      <c r="S153" s="11">
        <v>135</v>
      </c>
      <c r="T153" s="4">
        <v>104.34140327872295</v>
      </c>
      <c r="U153" s="7">
        <v>4.8551937279901036E-2</v>
      </c>
    </row>
    <row r="154" spans="19:21" x14ac:dyDescent="0.25">
      <c r="S154" s="11">
        <v>136</v>
      </c>
      <c r="T154" s="4">
        <v>96.172394536630264</v>
      </c>
      <c r="U154" s="7">
        <v>-3.3540402606469066E-2</v>
      </c>
    </row>
    <row r="155" spans="19:21" x14ac:dyDescent="0.25">
      <c r="S155" s="11">
        <v>137</v>
      </c>
      <c r="T155" s="4">
        <v>127.08460841474498</v>
      </c>
      <c r="U155" s="7">
        <v>0.27710389322424844</v>
      </c>
    </row>
    <row r="156" spans="19:21" x14ac:dyDescent="0.25">
      <c r="S156" s="11">
        <v>138</v>
      </c>
      <c r="T156" s="4">
        <v>158.86646103114816</v>
      </c>
      <c r="U156" s="7">
        <v>0.59648739856444744</v>
      </c>
    </row>
    <row r="157" spans="19:21" x14ac:dyDescent="0.25">
      <c r="S157" s="11">
        <v>139</v>
      </c>
      <c r="T157" s="4">
        <v>85.747141893885285</v>
      </c>
      <c r="U157" s="7">
        <v>-0.13830628184217386</v>
      </c>
    </row>
    <row r="158" spans="19:21" x14ac:dyDescent="0.25">
      <c r="S158" s="11">
        <v>140</v>
      </c>
      <c r="T158" s="4">
        <v>51.270156353634356</v>
      </c>
      <c r="U158" s="7">
        <v>-0.48477382822194404</v>
      </c>
    </row>
    <row r="159" spans="19:21" x14ac:dyDescent="0.25">
      <c r="S159" s="11">
        <v>141</v>
      </c>
      <c r="T159" s="4">
        <v>120.55961247683913</v>
      </c>
      <c r="U159" s="7">
        <v>0.21153263467831507</v>
      </c>
    </row>
    <row r="160" spans="19:21" x14ac:dyDescent="0.25">
      <c r="S160" s="11">
        <v>142</v>
      </c>
      <c r="T160" s="4">
        <v>152.96640952854673</v>
      </c>
      <c r="U160" s="7">
        <v>0.53719635743690808</v>
      </c>
    </row>
    <row r="161" spans="19:21" x14ac:dyDescent="0.25">
      <c r="S161" s="11">
        <v>143</v>
      </c>
      <c r="T161" s="4">
        <v>180.77884790150915</v>
      </c>
      <c r="U161" s="7">
        <v>0.81669026129543898</v>
      </c>
    </row>
    <row r="162" spans="19:21" x14ac:dyDescent="0.25">
      <c r="S162" s="11">
        <v>144</v>
      </c>
      <c r="T162" s="4">
        <v>147.82588479047968</v>
      </c>
      <c r="U162" s="7">
        <v>0.48553798402652659</v>
      </c>
    </row>
    <row r="163" spans="19:21" x14ac:dyDescent="0.25">
      <c r="S163" s="11">
        <v>145</v>
      </c>
      <c r="T163" s="4">
        <v>99.17828364923632</v>
      </c>
      <c r="U163" s="7">
        <v>-3.333497646102801E-3</v>
      </c>
    </row>
    <row r="164" spans="19:21" x14ac:dyDescent="0.25">
      <c r="S164" s="11">
        <v>146</v>
      </c>
      <c r="T164" s="4">
        <v>207.7230984976448</v>
      </c>
      <c r="U164" s="7">
        <v>1.0874595367063087</v>
      </c>
    </row>
    <row r="165" spans="19:21" x14ac:dyDescent="0.25">
      <c r="S165" s="11">
        <v>147</v>
      </c>
      <c r="T165" s="4">
        <v>119.4737469542674</v>
      </c>
      <c r="U165" s="7">
        <v>0.2006205100418792</v>
      </c>
    </row>
    <row r="166" spans="19:21" x14ac:dyDescent="0.25">
      <c r="S166" s="11">
        <v>148</v>
      </c>
      <c r="T166" s="4">
        <v>115.71871358720097</v>
      </c>
      <c r="U166" s="7">
        <v>0.16288527371320427</v>
      </c>
    </row>
    <row r="167" spans="19:21" x14ac:dyDescent="0.25">
      <c r="S167" s="11">
        <v>149</v>
      </c>
      <c r="T167" s="4">
        <v>133.85059377187355</v>
      </c>
      <c r="U167" s="7">
        <v>0.34509691259042841</v>
      </c>
    </row>
    <row r="168" spans="19:21" x14ac:dyDescent="0.25">
      <c r="S168" s="11">
        <v>150</v>
      </c>
      <c r="T168" s="4">
        <v>135.739014460112</v>
      </c>
      <c r="U168" s="7">
        <v>0.36407410772899196</v>
      </c>
    </row>
    <row r="169" spans="19:21" x14ac:dyDescent="0.25">
      <c r="S169" s="11">
        <v>151</v>
      </c>
      <c r="T169" s="4">
        <v>136.06629432321643</v>
      </c>
      <c r="U169" s="7">
        <v>0.36736302204016091</v>
      </c>
    </row>
    <row r="170" spans="19:21" x14ac:dyDescent="0.25">
      <c r="S170" s="11">
        <v>152</v>
      </c>
      <c r="T170" s="4">
        <v>142.51121114836127</v>
      </c>
      <c r="U170" s="7">
        <v>0.4321295462602881</v>
      </c>
    </row>
    <row r="171" spans="19:21" x14ac:dyDescent="0.25">
      <c r="S171" s="11">
        <v>153</v>
      </c>
      <c r="T171" s="4">
        <v>151.10554043575868</v>
      </c>
      <c r="U171" s="7">
        <v>0.51849603492873753</v>
      </c>
    </row>
    <row r="172" spans="19:21" x14ac:dyDescent="0.25">
      <c r="S172" s="11">
        <v>154</v>
      </c>
      <c r="T172" s="4">
        <v>178.92023915976293</v>
      </c>
      <c r="U172" s="7">
        <v>0.79801265360027052</v>
      </c>
    </row>
    <row r="173" spans="19:21" x14ac:dyDescent="0.25">
      <c r="S173" s="11">
        <v>155</v>
      </c>
      <c r="T173" s="4">
        <v>170.43380153746367</v>
      </c>
      <c r="U173" s="7">
        <v>0.71273039430673957</v>
      </c>
    </row>
    <row r="174" spans="19:21" x14ac:dyDescent="0.25">
      <c r="S174" s="11">
        <v>156</v>
      </c>
      <c r="T174" s="4">
        <v>82.319878192564843</v>
      </c>
      <c r="U174" s="7">
        <v>-0.17274768171475385</v>
      </c>
    </row>
    <row r="175" spans="19:21" x14ac:dyDescent="0.25">
      <c r="S175" s="11">
        <v>157</v>
      </c>
      <c r="T175" s="4">
        <v>153.46458229672942</v>
      </c>
      <c r="U175" s="7">
        <v>0.54220261578463891</v>
      </c>
    </row>
    <row r="176" spans="19:21" x14ac:dyDescent="0.25">
      <c r="S176" s="11">
        <v>158</v>
      </c>
      <c r="T176" s="4">
        <v>138.20195658358492</v>
      </c>
      <c r="U176" s="7">
        <v>0.38882480739207015</v>
      </c>
    </row>
    <row r="177" spans="19:21" x14ac:dyDescent="0.25">
      <c r="S177" s="11">
        <v>159</v>
      </c>
      <c r="T177" s="4">
        <v>119.7267782141529</v>
      </c>
      <c r="U177" s="7">
        <v>0.2031632822244287</v>
      </c>
    </row>
    <row r="178" spans="19:21" x14ac:dyDescent="0.25">
      <c r="S178" s="11">
        <v>160</v>
      </c>
      <c r="T178" s="4">
        <v>137.97295672788778</v>
      </c>
      <c r="U178" s="7">
        <v>0.38652353258856165</v>
      </c>
    </row>
    <row r="179" spans="19:21" x14ac:dyDescent="0.25">
      <c r="S179" s="11">
        <v>161</v>
      </c>
      <c r="T179" s="4">
        <v>82.767311558324906</v>
      </c>
      <c r="U179" s="7">
        <v>-0.16825131586448694</v>
      </c>
    </row>
    <row r="180" spans="19:21" x14ac:dyDescent="0.25">
      <c r="S180" s="11">
        <v>162</v>
      </c>
      <c r="T180" s="4">
        <v>106.73534655699666</v>
      </c>
      <c r="U180" s="7">
        <v>7.2609250899373423E-2</v>
      </c>
    </row>
    <row r="181" spans="19:21" x14ac:dyDescent="0.25">
      <c r="S181" s="11">
        <v>163</v>
      </c>
      <c r="T181" s="4">
        <v>170.93997212618771</v>
      </c>
      <c r="U181" s="7">
        <v>0.71781702468282282</v>
      </c>
    </row>
    <row r="182" spans="19:21" x14ac:dyDescent="0.25">
      <c r="S182" s="11">
        <v>164</v>
      </c>
      <c r="T182" s="4">
        <v>97.442686392726671</v>
      </c>
      <c r="U182" s="7">
        <v>-2.0774933245636951E-2</v>
      </c>
    </row>
    <row r="183" spans="19:21" x14ac:dyDescent="0.25">
      <c r="S183" s="11">
        <v>165</v>
      </c>
      <c r="T183" s="4">
        <v>178.42287420447923</v>
      </c>
      <c r="U183" s="7">
        <v>0.79301451315927274</v>
      </c>
    </row>
    <row r="184" spans="19:21" x14ac:dyDescent="0.25">
      <c r="S184" s="11">
        <v>166</v>
      </c>
      <c r="T184" s="4">
        <v>114.6373915647598</v>
      </c>
      <c r="U184" s="7">
        <v>0.15201880780584665</v>
      </c>
    </row>
    <row r="185" spans="19:21" x14ac:dyDescent="0.25">
      <c r="S185" s="11">
        <v>167</v>
      </c>
      <c r="T185" s="4">
        <v>127.48187762606355</v>
      </c>
      <c r="U185" s="7">
        <v>0.2810961473828113</v>
      </c>
    </row>
    <row r="186" spans="19:21" x14ac:dyDescent="0.25">
      <c r="S186" s="11">
        <v>168</v>
      </c>
      <c r="T186" s="4">
        <v>130.30658721525316</v>
      </c>
      <c r="U186" s="7">
        <v>0.3094823355969567</v>
      </c>
    </row>
    <row r="187" spans="19:21" x14ac:dyDescent="0.25">
      <c r="S187" s="11">
        <v>169</v>
      </c>
      <c r="T187" s="4">
        <v>181.23542780055038</v>
      </c>
      <c r="U187" s="7">
        <v>0.82127854286554491</v>
      </c>
    </row>
    <row r="188" spans="19:21" x14ac:dyDescent="0.25">
      <c r="S188" s="11">
        <v>170</v>
      </c>
      <c r="T188" s="4">
        <v>236.0017959093079</v>
      </c>
      <c r="U188" s="7">
        <v>1.3716389901447883</v>
      </c>
    </row>
    <row r="189" spans="19:21" x14ac:dyDescent="0.25">
      <c r="S189" s="11">
        <v>171</v>
      </c>
      <c r="T189" s="4">
        <v>109.74073472378133</v>
      </c>
      <c r="U189" s="7">
        <v>0.10281112173431128</v>
      </c>
    </row>
    <row r="190" spans="19:21" x14ac:dyDescent="0.25">
      <c r="S190" s="11">
        <v>172</v>
      </c>
      <c r="T190" s="4">
        <v>231.44405454656305</v>
      </c>
      <c r="U190" s="7">
        <v>1.3258371474883233</v>
      </c>
    </row>
    <row r="191" spans="19:21" x14ac:dyDescent="0.25">
      <c r="S191" s="11">
        <v>173</v>
      </c>
      <c r="T191" s="4">
        <v>127.56461096811138</v>
      </c>
      <c r="U191" s="7">
        <v>0.28192755469913955</v>
      </c>
    </row>
    <row r="192" spans="19:21" x14ac:dyDescent="0.25">
      <c r="S192" s="11">
        <v>174</v>
      </c>
      <c r="T192" s="4">
        <v>166.03112660738674</v>
      </c>
      <c r="U192" s="7">
        <v>0.66848685164693733</v>
      </c>
    </row>
    <row r="193" spans="19:21" x14ac:dyDescent="0.25">
      <c r="S193" s="11">
        <v>175</v>
      </c>
      <c r="T193" s="4">
        <v>101.81767965531985</v>
      </c>
      <c r="U193" s="7">
        <v>2.3190429658525247E-2</v>
      </c>
    </row>
    <row r="194" spans="19:21" x14ac:dyDescent="0.25">
      <c r="S194" s="11">
        <v>176</v>
      </c>
      <c r="T194" s="4">
        <v>146.66380129397075</v>
      </c>
      <c r="U194" s="7">
        <v>0.47385992657994924</v>
      </c>
    </row>
    <row r="195" spans="19:21" x14ac:dyDescent="0.25">
      <c r="S195" s="11">
        <v>177</v>
      </c>
      <c r="T195" s="4">
        <v>122.37002846418601</v>
      </c>
      <c r="U195" s="7">
        <v>0.22972594175646677</v>
      </c>
    </row>
    <row r="196" spans="19:21" x14ac:dyDescent="0.25">
      <c r="S196" s="11">
        <v>178</v>
      </c>
      <c r="T196" s="4">
        <v>81.20005727223085</v>
      </c>
      <c r="U196" s="7">
        <v>-0.18400103233613863</v>
      </c>
    </row>
    <row r="197" spans="19:21" x14ac:dyDescent="0.25">
      <c r="S197" s="11">
        <v>179</v>
      </c>
      <c r="T197" s="4">
        <v>124.97908233715641</v>
      </c>
      <c r="U197" s="7">
        <v>0.25594495364442182</v>
      </c>
    </row>
    <row r="198" spans="19:21" x14ac:dyDescent="0.25">
      <c r="S198" s="11">
        <v>180</v>
      </c>
      <c r="T198" s="4">
        <v>190.98398425198127</v>
      </c>
      <c r="U198" s="7">
        <v>0.91924413879993216</v>
      </c>
    </row>
    <row r="199" spans="19:21" x14ac:dyDescent="0.25">
      <c r="S199" s="11">
        <v>181</v>
      </c>
      <c r="T199" s="4">
        <v>99.762269550386549</v>
      </c>
      <c r="U199" s="7">
        <v>2.5351175800074621E-3</v>
      </c>
    </row>
    <row r="200" spans="19:21" x14ac:dyDescent="0.25">
      <c r="S200" s="11">
        <v>182</v>
      </c>
      <c r="T200" s="4">
        <v>148.73785748780705</v>
      </c>
      <c r="U200" s="7">
        <v>0.49470261770482393</v>
      </c>
    </row>
    <row r="201" spans="19:21" x14ac:dyDescent="0.25">
      <c r="S201" s="11">
        <v>183</v>
      </c>
      <c r="T201" s="4">
        <v>138.11929919620752</v>
      </c>
      <c r="U201" s="7">
        <v>0.38799416336255166</v>
      </c>
    </row>
    <row r="202" spans="19:21" x14ac:dyDescent="0.25">
      <c r="S202" s="11">
        <v>184</v>
      </c>
      <c r="T202" s="4">
        <v>91.671599487310019</v>
      </c>
      <c r="U202" s="7">
        <v>-7.8769978019193942E-2</v>
      </c>
    </row>
    <row r="203" spans="19:21" x14ac:dyDescent="0.25">
      <c r="S203" s="11">
        <v>185</v>
      </c>
      <c r="T203" s="4">
        <v>145.65524065775443</v>
      </c>
      <c r="U203" s="7">
        <v>0.46372465739879831</v>
      </c>
    </row>
    <row r="204" spans="19:21" x14ac:dyDescent="0.25">
      <c r="S204" s="11">
        <v>186</v>
      </c>
      <c r="T204" s="4">
        <v>89.041382435339514</v>
      </c>
      <c r="U204" s="7">
        <v>-0.10520166379922113</v>
      </c>
    </row>
    <row r="205" spans="19:21" x14ac:dyDescent="0.25">
      <c r="S205" s="11">
        <v>187</v>
      </c>
      <c r="T205" s="4">
        <v>117.17611106636065</v>
      </c>
      <c r="U205" s="7">
        <v>0.17753101262547122</v>
      </c>
    </row>
    <row r="206" spans="19:21" x14ac:dyDescent="0.25">
      <c r="S206" s="11">
        <v>188</v>
      </c>
      <c r="T206" s="4">
        <v>96.965168611755558</v>
      </c>
      <c r="U206" s="7">
        <v>-2.5573624643196124E-2</v>
      </c>
    </row>
    <row r="207" spans="19:21" x14ac:dyDescent="0.25">
      <c r="S207" s="11">
        <v>189</v>
      </c>
      <c r="T207" s="4">
        <v>85.386174349738823</v>
      </c>
      <c r="U207" s="7">
        <v>-0.14193373178837487</v>
      </c>
    </row>
    <row r="208" spans="19:21" x14ac:dyDescent="0.25">
      <c r="S208" s="11">
        <v>190</v>
      </c>
      <c r="T208" s="4">
        <v>131.01210509642269</v>
      </c>
      <c r="U208" s="7">
        <v>0.31657225501379438</v>
      </c>
    </row>
    <row r="209" spans="19:21" x14ac:dyDescent="0.25">
      <c r="S209" s="11">
        <v>191</v>
      </c>
      <c r="T209" s="4">
        <v>201.7348710047921</v>
      </c>
      <c r="U209" s="7">
        <v>1.0272823937774302</v>
      </c>
    </row>
    <row r="210" spans="19:21" x14ac:dyDescent="0.25">
      <c r="S210" s="11">
        <v>192</v>
      </c>
      <c r="T210" s="4">
        <v>207.26114238987776</v>
      </c>
      <c r="U210" s="7">
        <v>1.0828172283175332</v>
      </c>
    </row>
    <row r="211" spans="19:21" x14ac:dyDescent="0.25">
      <c r="S211" s="11">
        <v>193</v>
      </c>
      <c r="T211" s="4">
        <v>119.28316553161773</v>
      </c>
      <c r="U211" s="7">
        <v>0.19870531134175184</v>
      </c>
    </row>
    <row r="212" spans="19:21" x14ac:dyDescent="0.25">
      <c r="S212" s="11">
        <v>194</v>
      </c>
      <c r="T212" s="4">
        <v>104.54012802049621</v>
      </c>
      <c r="U212" s="7">
        <v>5.0548970158739825E-2</v>
      </c>
    </row>
    <row r="213" spans="19:21" x14ac:dyDescent="0.25">
      <c r="S213" s="11">
        <v>195</v>
      </c>
      <c r="T213" s="4">
        <v>161.38513646411442</v>
      </c>
      <c r="U213" s="7">
        <v>0.62179817570208429</v>
      </c>
    </row>
    <row r="214" spans="19:21" x14ac:dyDescent="0.25">
      <c r="S214" s="11">
        <v>196</v>
      </c>
      <c r="T214" s="4">
        <v>216.21651194747255</v>
      </c>
      <c r="U214" s="7">
        <v>1.1728118977738173</v>
      </c>
    </row>
    <row r="215" spans="19:21" x14ac:dyDescent="0.25">
      <c r="S215" s="11">
        <v>197</v>
      </c>
      <c r="T215" s="4">
        <v>162.97927977608563</v>
      </c>
      <c r="U215" s="7">
        <v>0.63781810648262116</v>
      </c>
    </row>
    <row r="216" spans="19:21" x14ac:dyDescent="0.25">
      <c r="S216" s="11">
        <v>198</v>
      </c>
      <c r="T216" s="4">
        <v>101.27099265627483</v>
      </c>
      <c r="U216" s="7">
        <v>1.769664009923444E-2</v>
      </c>
    </row>
    <row r="217" spans="19:21" x14ac:dyDescent="0.25">
      <c r="S217" s="11">
        <v>199</v>
      </c>
      <c r="T217" s="4">
        <v>232.8891268607801</v>
      </c>
      <c r="U217" s="7">
        <v>1.3403590278442374</v>
      </c>
    </row>
    <row r="218" spans="19:21" x14ac:dyDescent="0.25">
      <c r="S218" s="11">
        <v>200</v>
      </c>
      <c r="T218" s="4">
        <v>153.02031025931265</v>
      </c>
      <c r="U218" s="7">
        <v>0.53773801888566619</v>
      </c>
    </row>
    <row r="219" spans="19:21" x14ac:dyDescent="0.25">
      <c r="S219" s="11">
        <v>201</v>
      </c>
      <c r="T219" s="4">
        <v>148.79752104728652</v>
      </c>
      <c r="U219" s="7">
        <v>0.49530219120979324</v>
      </c>
    </row>
    <row r="220" spans="19:21" x14ac:dyDescent="0.25">
      <c r="S220" s="11">
        <v>202</v>
      </c>
      <c r="T220" s="4">
        <v>135.92393212126237</v>
      </c>
      <c r="U220" s="7">
        <v>0.36593238992324761</v>
      </c>
    </row>
    <row r="221" spans="19:21" x14ac:dyDescent="0.25">
      <c r="S221" s="11">
        <v>203</v>
      </c>
      <c r="T221" s="4">
        <v>93.059641725559842</v>
      </c>
      <c r="U221" s="7">
        <v>-6.4821206657021069E-2</v>
      </c>
    </row>
    <row r="222" spans="19:21" x14ac:dyDescent="0.25">
      <c r="S222" s="11">
        <v>204</v>
      </c>
      <c r="T222" s="4">
        <v>107.65943883524291</v>
      </c>
      <c r="U222" s="7">
        <v>8.1895677170564785E-2</v>
      </c>
    </row>
    <row r="223" spans="19:21" x14ac:dyDescent="0.25">
      <c r="S223" s="11">
        <v>205</v>
      </c>
      <c r="T223" s="4">
        <v>125.75146562714875</v>
      </c>
      <c r="U223" s="7">
        <v>0.26370681968795839</v>
      </c>
    </row>
    <row r="224" spans="19:21" x14ac:dyDescent="0.25">
      <c r="S224" s="11">
        <v>206</v>
      </c>
      <c r="T224" s="4">
        <v>137.92964295675037</v>
      </c>
      <c r="U224" s="7">
        <v>0.38608826205155622</v>
      </c>
    </row>
    <row r="225" spans="19:21" x14ac:dyDescent="0.25">
      <c r="S225" s="11">
        <v>207</v>
      </c>
      <c r="T225" s="4">
        <v>96.65330620735655</v>
      </c>
      <c r="U225" s="7">
        <v>-2.8707605191874763E-2</v>
      </c>
    </row>
    <row r="226" spans="19:21" x14ac:dyDescent="0.25">
      <c r="S226" s="11">
        <v>208</v>
      </c>
      <c r="T226" s="4">
        <v>134.63733656242118</v>
      </c>
      <c r="U226" s="7">
        <v>0.3530030807197384</v>
      </c>
    </row>
    <row r="227" spans="19:21" x14ac:dyDescent="0.25">
      <c r="S227" s="11">
        <v>209</v>
      </c>
      <c r="T227" s="4">
        <v>133.85270120315468</v>
      </c>
      <c r="U227" s="7">
        <v>0.34511809067585841</v>
      </c>
    </row>
    <row r="228" spans="19:21" x14ac:dyDescent="0.25">
      <c r="S228" s="11">
        <v>210</v>
      </c>
      <c r="T228" s="4">
        <v>214.86136158884742</v>
      </c>
      <c r="U228" s="7">
        <v>1.1591936648462204</v>
      </c>
    </row>
    <row r="229" spans="19:21" x14ac:dyDescent="0.25">
      <c r="S229" s="11">
        <v>211</v>
      </c>
      <c r="T229" s="4">
        <v>95.395906040401016</v>
      </c>
      <c r="U229" s="7">
        <v>-4.1343522857994031E-2</v>
      </c>
    </row>
    <row r="230" spans="19:21" x14ac:dyDescent="0.25">
      <c r="S230" s="11">
        <v>212</v>
      </c>
      <c r="T230" s="4">
        <v>149.08262733128871</v>
      </c>
      <c r="U230" s="7">
        <v>0.49816729304882612</v>
      </c>
    </row>
    <row r="231" spans="19:21" x14ac:dyDescent="0.25">
      <c r="S231" s="11">
        <v>213</v>
      </c>
      <c r="T231" s="4">
        <v>177.14722612231901</v>
      </c>
      <c r="U231" s="7">
        <v>0.78019521779036283</v>
      </c>
    </row>
    <row r="232" spans="19:21" x14ac:dyDescent="0.25">
      <c r="S232" s="11">
        <v>214</v>
      </c>
      <c r="T232" s="4">
        <v>100.92541797484621</v>
      </c>
      <c r="U232" s="7">
        <v>1.42238767445102E-2</v>
      </c>
    </row>
    <row r="233" spans="19:21" x14ac:dyDescent="0.25">
      <c r="S233" s="11">
        <v>215</v>
      </c>
      <c r="T233" s="4">
        <v>163.42556273487739</v>
      </c>
      <c r="U233" s="7">
        <v>0.64230291161569064</v>
      </c>
    </row>
    <row r="234" spans="19:21" x14ac:dyDescent="0.25">
      <c r="S234" s="11">
        <v>216</v>
      </c>
      <c r="T234" s="4">
        <v>100.61296755886748</v>
      </c>
      <c r="U234" s="7">
        <v>1.1083987125590111E-2</v>
      </c>
    </row>
    <row r="235" spans="19:21" x14ac:dyDescent="0.25">
      <c r="S235" s="11">
        <v>217</v>
      </c>
      <c r="T235" s="4">
        <v>140.42147456002317</v>
      </c>
      <c r="U235" s="7">
        <v>0.41112927906766328</v>
      </c>
    </row>
    <row r="236" spans="19:21" x14ac:dyDescent="0.25">
      <c r="S236" s="11">
        <v>218</v>
      </c>
      <c r="T236" s="4">
        <v>188.2031087739544</v>
      </c>
      <c r="U236" s="7">
        <v>0.89129845014525566</v>
      </c>
    </row>
    <row r="237" spans="19:21" x14ac:dyDescent="0.25">
      <c r="S237" s="11">
        <v>219</v>
      </c>
      <c r="T237" s="4">
        <v>59.069662747816153</v>
      </c>
      <c r="U237" s="7">
        <v>-0.4063947065841006</v>
      </c>
    </row>
    <row r="238" spans="19:21" x14ac:dyDescent="0.25">
      <c r="S238" s="11">
        <v>220</v>
      </c>
      <c r="T238" s="4">
        <v>134.17798896523766</v>
      </c>
      <c r="U238" s="7">
        <v>0.34838698588320427</v>
      </c>
    </row>
    <row r="239" spans="19:21" x14ac:dyDescent="0.25">
      <c r="S239" s="11">
        <v>221</v>
      </c>
      <c r="T239" s="4">
        <v>132.9771330266243</v>
      </c>
      <c r="U239" s="7">
        <v>0.33631929481081602</v>
      </c>
    </row>
    <row r="240" spans="19:21" x14ac:dyDescent="0.25">
      <c r="S240" s="11">
        <v>222</v>
      </c>
      <c r="T240" s="4">
        <v>127.17459829733167</v>
      </c>
      <c r="U240" s="7">
        <v>0.27800822326732644</v>
      </c>
    </row>
    <row r="241" spans="19:21" x14ac:dyDescent="0.25">
      <c r="S241" s="11">
        <v>223</v>
      </c>
      <c r="T241" s="4">
        <v>102.96008660692632</v>
      </c>
      <c r="U241" s="7">
        <v>3.4670752757776313E-2</v>
      </c>
    </row>
    <row r="242" spans="19:21" x14ac:dyDescent="0.25">
      <c r="S242" s="11">
        <v>224</v>
      </c>
      <c r="T242" s="4">
        <v>143.3911643002715</v>
      </c>
      <c r="U242" s="7">
        <v>0.4409724078009396</v>
      </c>
    </row>
    <row r="243" spans="19:21" x14ac:dyDescent="0.25">
      <c r="S243" s="11">
        <v>225</v>
      </c>
      <c r="T243" s="4">
        <v>98.075593952648575</v>
      </c>
      <c r="U243" s="7">
        <v>-1.4414692466600654E-2</v>
      </c>
    </row>
    <row r="244" spans="19:21" x14ac:dyDescent="0.25">
      <c r="S244" s="11">
        <v>226</v>
      </c>
      <c r="T244" s="4">
        <v>172.16199407101342</v>
      </c>
      <c r="U244" s="7">
        <v>0.73009741805862149</v>
      </c>
    </row>
    <row r="245" spans="19:21" x14ac:dyDescent="0.25">
      <c r="S245" s="11">
        <v>227</v>
      </c>
      <c r="T245" s="4">
        <v>147.36492979762329</v>
      </c>
      <c r="U245" s="7">
        <v>0.48090573608303977</v>
      </c>
    </row>
    <row r="246" spans="19:21" x14ac:dyDescent="0.25">
      <c r="S246" s="11">
        <v>228</v>
      </c>
      <c r="T246" s="4">
        <v>180.25456510714321</v>
      </c>
      <c r="U246" s="7">
        <v>0.81142161699470594</v>
      </c>
    </row>
    <row r="247" spans="19:21" x14ac:dyDescent="0.25">
      <c r="S247" s="11">
        <v>229</v>
      </c>
      <c r="T247" s="4">
        <v>166.96461590700039</v>
      </c>
      <c r="U247" s="7">
        <v>0.67786771085318454</v>
      </c>
    </row>
    <row r="248" spans="19:21" x14ac:dyDescent="0.25">
      <c r="S248" s="11">
        <v>230</v>
      </c>
      <c r="T248" s="4">
        <v>141.95600008874698</v>
      </c>
      <c r="U248" s="7">
        <v>0.42655009635963181</v>
      </c>
    </row>
    <row r="249" spans="19:21" x14ac:dyDescent="0.25">
      <c r="S249" s="11">
        <v>231</v>
      </c>
      <c r="T249" s="4">
        <v>129.63719838704463</v>
      </c>
      <c r="U249" s="7">
        <v>0.30275548575062428</v>
      </c>
    </row>
    <row r="250" spans="19:21" x14ac:dyDescent="0.25">
      <c r="S250" s="11">
        <v>232</v>
      </c>
      <c r="T250" s="4">
        <v>118.71302916432002</v>
      </c>
      <c r="U250" s="7">
        <v>0.19297587342297273</v>
      </c>
    </row>
    <row r="251" spans="19:21" x14ac:dyDescent="0.25">
      <c r="S251" s="11">
        <v>233</v>
      </c>
      <c r="T251" s="4">
        <v>110.28909564365054</v>
      </c>
      <c r="U251" s="7">
        <v>0.10832173292785185</v>
      </c>
    </row>
    <row r="252" spans="19:21" x14ac:dyDescent="0.25">
      <c r="S252" s="11">
        <v>234</v>
      </c>
      <c r="T252" s="4">
        <v>79.001733412610633</v>
      </c>
      <c r="U252" s="7">
        <v>-0.20609251921806226</v>
      </c>
    </row>
    <row r="253" spans="19:21" x14ac:dyDescent="0.25">
      <c r="S253" s="11">
        <v>235</v>
      </c>
      <c r="T253" s="4">
        <v>148.99060433769418</v>
      </c>
      <c r="U253" s="7">
        <v>0.49724253178267674</v>
      </c>
    </row>
    <row r="254" spans="19:21" x14ac:dyDescent="0.25">
      <c r="S254" s="11">
        <v>236</v>
      </c>
      <c r="T254" s="4">
        <v>94.411501018263479</v>
      </c>
      <c r="U254" s="7">
        <v>-5.1236046444945504E-2</v>
      </c>
    </row>
    <row r="255" spans="19:21" x14ac:dyDescent="0.25">
      <c r="S255" s="11">
        <v>237</v>
      </c>
      <c r="T255" s="4">
        <v>152.64042356768206</v>
      </c>
      <c r="U255" s="7">
        <v>0.53392044586154208</v>
      </c>
    </row>
    <row r="256" spans="19:21" x14ac:dyDescent="0.25">
      <c r="S256" s="11">
        <v>238</v>
      </c>
      <c r="T256" s="4">
        <v>153.82078564182555</v>
      </c>
      <c r="U256" s="7">
        <v>0.54578218914506627</v>
      </c>
    </row>
    <row r="257" spans="19:21" x14ac:dyDescent="0.25">
      <c r="S257" s="11">
        <v>239</v>
      </c>
      <c r="T257" s="4">
        <v>92.582236433069681</v>
      </c>
      <c r="U257" s="7">
        <v>-6.9618767630693634E-2</v>
      </c>
    </row>
    <row r="258" spans="19:21" x14ac:dyDescent="0.25">
      <c r="S258" s="11">
        <v>240</v>
      </c>
      <c r="T258" s="4">
        <v>120.83380463784245</v>
      </c>
      <c r="U258" s="7">
        <v>0.21428805786194793</v>
      </c>
    </row>
    <row r="259" spans="19:21" x14ac:dyDescent="0.25">
      <c r="S259" s="11">
        <v>241</v>
      </c>
      <c r="T259" s="4">
        <v>138.60733399241775</v>
      </c>
      <c r="U259" s="7">
        <v>0.39289854278381808</v>
      </c>
    </row>
    <row r="260" spans="19:21" x14ac:dyDescent="0.25">
      <c r="S260" s="11">
        <v>242</v>
      </c>
      <c r="T260" s="4">
        <v>128.9874615469989</v>
      </c>
      <c r="U260" s="7">
        <v>0.29622612347501653</v>
      </c>
    </row>
    <row r="261" spans="19:21" x14ac:dyDescent="0.25">
      <c r="S261" s="11">
        <v>243</v>
      </c>
      <c r="T261" s="4">
        <v>122.97624091387476</v>
      </c>
      <c r="U261" s="7">
        <v>0.23581791693171295</v>
      </c>
    </row>
    <row r="262" spans="19:21" x14ac:dyDescent="0.25">
      <c r="S262" s="11">
        <v>244</v>
      </c>
      <c r="T262" s="4">
        <v>91.05834764722988</v>
      </c>
      <c r="U262" s="7">
        <v>-8.4932693726963326E-2</v>
      </c>
    </row>
    <row r="263" spans="19:21" x14ac:dyDescent="0.25">
      <c r="S263" s="11">
        <v>245</v>
      </c>
      <c r="T263" s="4">
        <v>119.7729146568374</v>
      </c>
      <c r="U263" s="7">
        <v>0.20362691846887149</v>
      </c>
    </row>
    <row r="264" spans="19:21" x14ac:dyDescent="0.25">
      <c r="S264" s="11">
        <v>246</v>
      </c>
      <c r="T264" s="4">
        <v>124.51346559563694</v>
      </c>
      <c r="U264" s="7">
        <v>0.25126585866382212</v>
      </c>
    </row>
    <row r="265" spans="19:21" x14ac:dyDescent="0.25">
      <c r="S265" s="11">
        <v>247</v>
      </c>
      <c r="T265" s="4">
        <v>126.83506654216629</v>
      </c>
      <c r="U265" s="7">
        <v>0.27459618673667241</v>
      </c>
    </row>
    <row r="266" spans="19:21" x14ac:dyDescent="0.25">
      <c r="S266" s="11">
        <v>248</v>
      </c>
      <c r="T266" s="4">
        <v>157.84462928854484</v>
      </c>
      <c r="U266" s="7">
        <v>0.58621876483313073</v>
      </c>
    </row>
    <row r="267" spans="19:21" x14ac:dyDescent="0.25">
      <c r="S267" s="11">
        <v>249</v>
      </c>
      <c r="T267" s="4">
        <v>103.84392512937524</v>
      </c>
      <c r="U267" s="7">
        <v>4.3552659324441967E-2</v>
      </c>
    </row>
    <row r="268" spans="19:21" x14ac:dyDescent="0.25">
      <c r="S268" s="11">
        <v>250</v>
      </c>
      <c r="T268" s="4">
        <v>112.40588665712525</v>
      </c>
      <c r="U268" s="7">
        <v>0.12959387656642796</v>
      </c>
    </row>
    <row r="269" spans="19:21" x14ac:dyDescent="0.25">
      <c r="S269" s="11">
        <v>251</v>
      </c>
      <c r="T269" s="4">
        <v>113.39698057255087</v>
      </c>
      <c r="U269" s="7">
        <v>0.13955361845594272</v>
      </c>
    </row>
    <row r="270" spans="19:21" x14ac:dyDescent="0.25">
      <c r="S270" s="11">
        <v>252</v>
      </c>
      <c r="T270" s="4">
        <v>104.722627845449</v>
      </c>
      <c r="U270" s="7">
        <v>5.238295493366496E-2</v>
      </c>
    </row>
    <row r="271" spans="19:21" x14ac:dyDescent="0.25">
      <c r="S271" s="11">
        <v>253</v>
      </c>
      <c r="T271" s="4">
        <v>147.6272390983828</v>
      </c>
      <c r="U271" s="7">
        <v>0.48354174553695906</v>
      </c>
    </row>
    <row r="272" spans="19:21" x14ac:dyDescent="0.25">
      <c r="S272" s="11">
        <v>254</v>
      </c>
      <c r="T272" s="4">
        <v>189.0528902494097</v>
      </c>
      <c r="U272" s="7">
        <v>0.89983810922932062</v>
      </c>
    </row>
    <row r="273" spans="19:21" x14ac:dyDescent="0.25">
      <c r="S273" s="11">
        <v>255</v>
      </c>
      <c r="T273" s="4">
        <v>133.70679301469983</v>
      </c>
      <c r="U273" s="7">
        <v>0.34365182408501482</v>
      </c>
    </row>
    <row r="274" spans="19:21" x14ac:dyDescent="0.25">
      <c r="S274" s="11">
        <v>256</v>
      </c>
      <c r="T274" s="4">
        <v>87.965225158769286</v>
      </c>
      <c r="U274" s="7">
        <v>-0.11601622792916011</v>
      </c>
    </row>
    <row r="275" spans="19:21" x14ac:dyDescent="0.25">
      <c r="S275" s="11">
        <v>257</v>
      </c>
      <c r="T275" s="4">
        <v>183.77709915067501</v>
      </c>
      <c r="U275" s="7">
        <v>0.84682041152321386</v>
      </c>
    </row>
    <row r="276" spans="19:21" x14ac:dyDescent="0.25">
      <c r="S276" s="11">
        <v>258</v>
      </c>
      <c r="T276" s="4">
        <v>86.284998632237702</v>
      </c>
      <c r="U276" s="7">
        <v>-0.13290122970316853</v>
      </c>
    </row>
    <row r="277" spans="19:21" x14ac:dyDescent="0.25">
      <c r="S277" s="11">
        <v>259</v>
      </c>
      <c r="T277" s="4">
        <v>115.19802960750032</v>
      </c>
      <c r="U277" s="7">
        <v>0.15765279476937311</v>
      </c>
    </row>
    <row r="278" spans="19:21" x14ac:dyDescent="0.25">
      <c r="S278" s="11">
        <v>260</v>
      </c>
      <c r="T278" s="4">
        <v>113.6926065496797</v>
      </c>
      <c r="U278" s="7">
        <v>0.14252443522942104</v>
      </c>
    </row>
    <row r="279" spans="19:21" x14ac:dyDescent="0.25">
      <c r="S279" s="11">
        <v>261</v>
      </c>
      <c r="T279" s="4">
        <v>136.6850797817263</v>
      </c>
      <c r="U279" s="7">
        <v>0.37358134641469487</v>
      </c>
    </row>
    <row r="280" spans="19:21" x14ac:dyDescent="0.25">
      <c r="S280" s="11">
        <v>262</v>
      </c>
      <c r="T280" s="4">
        <v>219.39513341971738</v>
      </c>
      <c r="U280" s="7">
        <v>1.2047546318934517</v>
      </c>
    </row>
    <row r="281" spans="19:21" x14ac:dyDescent="0.25">
      <c r="S281" s="11">
        <v>263</v>
      </c>
      <c r="T281" s="4">
        <v>141.40804322442446</v>
      </c>
      <c r="U281" s="7">
        <v>0.42104354561777169</v>
      </c>
    </row>
    <row r="282" spans="19:21" x14ac:dyDescent="0.25">
      <c r="S282" s="11">
        <v>264</v>
      </c>
      <c r="T282" s="4">
        <v>97.14147327677054</v>
      </c>
      <c r="U282" s="7">
        <v>-2.3801896525268429E-2</v>
      </c>
    </row>
    <row r="283" spans="19:21" x14ac:dyDescent="0.25">
      <c r="S283" s="11">
        <v>265</v>
      </c>
      <c r="T283" s="4">
        <v>156.14113355667462</v>
      </c>
      <c r="U283" s="7">
        <v>0.56909992520022712</v>
      </c>
    </row>
    <row r="284" spans="19:21" x14ac:dyDescent="0.25">
      <c r="S284" s="11">
        <v>266</v>
      </c>
      <c r="T284" s="4">
        <v>179.07751890994055</v>
      </c>
      <c r="U284" s="7">
        <v>0.79959319575862264</v>
      </c>
    </row>
    <row r="285" spans="19:21" x14ac:dyDescent="0.25">
      <c r="S285" s="11">
        <v>267</v>
      </c>
      <c r="T285" s="4">
        <v>126.6953159275522</v>
      </c>
      <c r="U285" s="7">
        <v>0.27319179909106817</v>
      </c>
    </row>
    <row r="286" spans="19:21" x14ac:dyDescent="0.25">
      <c r="S286" s="11">
        <v>268</v>
      </c>
      <c r="T286" s="4">
        <v>110.09433697112135</v>
      </c>
      <c r="U286" s="7">
        <v>0.10636455603578887</v>
      </c>
    </row>
    <row r="287" spans="19:21" x14ac:dyDescent="0.25">
      <c r="S287" s="11">
        <v>269</v>
      </c>
      <c r="T287" s="4">
        <v>115.73654583443258</v>
      </c>
      <c r="U287" s="7">
        <v>0.16306447426824011</v>
      </c>
    </row>
    <row r="288" spans="19:21" x14ac:dyDescent="0.25">
      <c r="S288" s="11">
        <v>270</v>
      </c>
      <c r="T288" s="4">
        <v>178.04101704967906</v>
      </c>
      <c r="U288" s="7">
        <v>0.78917713847531945</v>
      </c>
    </row>
    <row r="289" spans="19:21" x14ac:dyDescent="0.25">
      <c r="S289" s="11">
        <v>271</v>
      </c>
      <c r="T289" s="4">
        <v>130.08709306424922</v>
      </c>
      <c r="U289" s="7">
        <v>0.30727658591346807</v>
      </c>
    </row>
    <row r="290" spans="19:21" x14ac:dyDescent="0.25">
      <c r="S290" s="11">
        <v>272</v>
      </c>
      <c r="T290" s="4">
        <v>131.67694815004131</v>
      </c>
      <c r="U290" s="7">
        <v>0.32325342327445794</v>
      </c>
    </row>
    <row r="291" spans="19:21" x14ac:dyDescent="0.25">
      <c r="S291" s="11">
        <v>273</v>
      </c>
      <c r="T291" s="4">
        <v>108.1763499489638</v>
      </c>
      <c r="U291" s="7">
        <v>8.7090241673839719E-2</v>
      </c>
    </row>
    <row r="292" spans="19:21" x14ac:dyDescent="0.25">
      <c r="S292" s="11">
        <v>274</v>
      </c>
      <c r="T292" s="4">
        <v>117.96292850224718</v>
      </c>
      <c r="U292" s="7">
        <v>0.18543793088380234</v>
      </c>
    </row>
    <row r="293" spans="19:21" x14ac:dyDescent="0.25">
      <c r="S293" s="11">
        <v>275</v>
      </c>
      <c r="T293" s="4">
        <v>84.449753151238085</v>
      </c>
      <c r="U293" s="7">
        <v>-0.15134405435395359</v>
      </c>
    </row>
    <row r="294" spans="19:21" x14ac:dyDescent="0.25">
      <c r="S294" s="11">
        <v>276</v>
      </c>
      <c r="T294" s="4">
        <v>126.04837198047078</v>
      </c>
      <c r="U294" s="7">
        <v>0.26669050327073429</v>
      </c>
    </row>
    <row r="295" spans="19:21" x14ac:dyDescent="0.25">
      <c r="S295" s="11">
        <v>277</v>
      </c>
      <c r="T295" s="4">
        <v>92.70327826321666</v>
      </c>
      <c r="U295" s="7">
        <v>-6.840238907429752E-2</v>
      </c>
    </row>
    <row r="296" spans="19:21" x14ac:dyDescent="0.25">
      <c r="S296" s="11">
        <v>278</v>
      </c>
      <c r="T296" s="4">
        <v>127.10513732702096</v>
      </c>
      <c r="U296" s="7">
        <v>0.27731019321697259</v>
      </c>
    </row>
    <row r="297" spans="19:21" x14ac:dyDescent="0.25">
      <c r="S297" s="11">
        <v>279</v>
      </c>
      <c r="T297" s="4">
        <v>207.92464407016749</v>
      </c>
      <c r="U297" s="7">
        <v>1.0894849167939653</v>
      </c>
    </row>
    <row r="298" spans="19:21" x14ac:dyDescent="0.25">
      <c r="S298" s="11">
        <v>280</v>
      </c>
      <c r="T298" s="4">
        <v>112.25919547473208</v>
      </c>
      <c r="U298" s="7">
        <v>0.12811974148057548</v>
      </c>
    </row>
    <row r="299" spans="19:21" x14ac:dyDescent="0.25">
      <c r="S299" s="11">
        <v>281</v>
      </c>
      <c r="T299" s="4">
        <v>81.273197349518611</v>
      </c>
      <c r="U299" s="7">
        <v>-0.1832660300520691</v>
      </c>
    </row>
    <row r="300" spans="19:21" x14ac:dyDescent="0.25">
      <c r="S300" s="11">
        <v>282</v>
      </c>
      <c r="T300" s="4">
        <v>109.33042773885393</v>
      </c>
      <c r="U300" s="7">
        <v>9.86878478429698E-2</v>
      </c>
    </row>
    <row r="301" spans="19:21" x14ac:dyDescent="0.25">
      <c r="S301" s="11">
        <v>283</v>
      </c>
      <c r="T301" s="4">
        <v>124.53348404413381</v>
      </c>
      <c r="U301" s="7">
        <v>0.25146702888286421</v>
      </c>
    </row>
    <row r="302" spans="19:21" x14ac:dyDescent="0.25">
      <c r="S302" s="11">
        <v>284</v>
      </c>
      <c r="T302" s="4">
        <v>93.138644537617125</v>
      </c>
      <c r="U302" s="7">
        <v>-6.4027288336678478E-2</v>
      </c>
    </row>
    <row r="303" spans="19:21" x14ac:dyDescent="0.25">
      <c r="S303" s="11">
        <v>285</v>
      </c>
      <c r="T303" s="4">
        <v>117.24290842697663</v>
      </c>
      <c r="U303" s="7">
        <v>0.17820227541932088</v>
      </c>
    </row>
    <row r="304" spans="19:21" x14ac:dyDescent="0.25">
      <c r="S304" s="11">
        <v>286</v>
      </c>
      <c r="T304" s="4">
        <v>115.48964965372345</v>
      </c>
      <c r="U304" s="7">
        <v>0.1605833549766198</v>
      </c>
    </row>
    <row r="305" spans="19:21" x14ac:dyDescent="0.25">
      <c r="S305" s="11">
        <v>287</v>
      </c>
      <c r="T305" s="4">
        <v>94.302031200756346</v>
      </c>
      <c r="U305" s="7">
        <v>-5.2336135054202204E-2</v>
      </c>
    </row>
    <row r="306" spans="19:21" x14ac:dyDescent="0.25">
      <c r="S306" s="11">
        <v>288</v>
      </c>
      <c r="T306" s="4">
        <v>197.33341360836673</v>
      </c>
      <c r="U306" s="7">
        <v>0.98305108640706185</v>
      </c>
    </row>
    <row r="307" spans="19:21" x14ac:dyDescent="0.25">
      <c r="S307" s="11">
        <v>289</v>
      </c>
      <c r="T307" s="4">
        <v>186.23969743372334</v>
      </c>
      <c r="U307" s="7">
        <v>0.87156765585090268</v>
      </c>
    </row>
    <row r="308" spans="19:21" x14ac:dyDescent="0.25">
      <c r="S308" s="11">
        <v>290</v>
      </c>
      <c r="T308" s="4">
        <v>122.00958388266876</v>
      </c>
      <c r="U308" s="7">
        <v>0.22610374718790838</v>
      </c>
    </row>
    <row r="309" spans="19:21" x14ac:dyDescent="0.25">
      <c r="S309" s="11">
        <v>291</v>
      </c>
      <c r="T309" s="4">
        <v>123.19646371435212</v>
      </c>
      <c r="U309" s="7">
        <v>0.23803098898956998</v>
      </c>
    </row>
    <row r="310" spans="19:21" x14ac:dyDescent="0.25">
      <c r="S310" s="11">
        <v>292</v>
      </c>
      <c r="T310" s="4">
        <v>126.5327354290424</v>
      </c>
      <c r="U310" s="7">
        <v>0.27155798843374934</v>
      </c>
    </row>
    <row r="311" spans="19:21" x14ac:dyDescent="0.25">
      <c r="S311" s="11">
        <v>293</v>
      </c>
      <c r="T311" s="4">
        <v>113.41212897053225</v>
      </c>
      <c r="U311" s="7">
        <v>0.13970584836229771</v>
      </c>
    </row>
    <row r="312" spans="19:21" x14ac:dyDescent="0.25">
      <c r="S312" s="11">
        <v>294</v>
      </c>
      <c r="T312" s="4">
        <v>78.046292394969186</v>
      </c>
      <c r="U312" s="7">
        <v>-0.21569397653533129</v>
      </c>
    </row>
    <row r="313" spans="19:21" x14ac:dyDescent="0.25">
      <c r="S313" s="11">
        <v>295</v>
      </c>
      <c r="T313" s="4">
        <v>123.28592914767054</v>
      </c>
      <c r="U313" s="7">
        <v>0.2389300487154109</v>
      </c>
    </row>
    <row r="314" spans="19:21" x14ac:dyDescent="0.25">
      <c r="S314" s="11">
        <v>296</v>
      </c>
      <c r="T314" s="4">
        <v>75.166677142136223</v>
      </c>
      <c r="U314" s="7">
        <v>-0.24463192501119269</v>
      </c>
    </row>
    <row r="315" spans="19:21" x14ac:dyDescent="0.25">
      <c r="S315" s="11">
        <v>297</v>
      </c>
      <c r="T315" s="4">
        <v>107.58960012501575</v>
      </c>
      <c r="U315" s="7">
        <v>8.1193851120648697E-2</v>
      </c>
    </row>
    <row r="316" spans="19:21" x14ac:dyDescent="0.25">
      <c r="S316" s="11">
        <v>298</v>
      </c>
      <c r="T316" s="4">
        <v>115.74304131090273</v>
      </c>
      <c r="U316" s="7">
        <v>0.16312974887853193</v>
      </c>
    </row>
    <row r="317" spans="19:21" x14ac:dyDescent="0.25">
      <c r="S317" s="11">
        <v>299</v>
      </c>
      <c r="T317" s="4">
        <v>123.06663803443826</v>
      </c>
      <c r="U317" s="7">
        <v>0.23672633940747922</v>
      </c>
    </row>
    <row r="318" spans="19:21" x14ac:dyDescent="0.25">
      <c r="S318" s="11">
        <v>300</v>
      </c>
      <c r="T318" s="4">
        <v>166.23678150858115</v>
      </c>
      <c r="U318" s="7">
        <v>0.67055352736992391</v>
      </c>
    </row>
    <row r="319" spans="19:21" x14ac:dyDescent="0.25">
      <c r="S319" s="11">
        <v>301</v>
      </c>
      <c r="T319" s="4">
        <v>152.39563493519549</v>
      </c>
      <c r="U319" s="7">
        <v>0.5314605058305244</v>
      </c>
    </row>
    <row r="320" spans="19:21" x14ac:dyDescent="0.25">
      <c r="S320" s="11">
        <v>302</v>
      </c>
      <c r="T320" s="4">
        <v>113.90370359258435</v>
      </c>
      <c r="U320" s="7">
        <v>0.14464580034754637</v>
      </c>
    </row>
    <row r="321" spans="19:21" x14ac:dyDescent="0.25">
      <c r="S321" s="11">
        <v>303</v>
      </c>
      <c r="T321" s="4">
        <v>98.047380263187463</v>
      </c>
      <c r="U321" s="7">
        <v>-1.4698218639458749E-2</v>
      </c>
    </row>
    <row r="322" spans="19:21" x14ac:dyDescent="0.25">
      <c r="S322" s="11">
        <v>304</v>
      </c>
      <c r="T322" s="4">
        <v>230.53279026756553</v>
      </c>
      <c r="U322" s="7">
        <v>1.3166796328767512</v>
      </c>
    </row>
    <row r="323" spans="19:21" x14ac:dyDescent="0.25">
      <c r="S323" s="11">
        <v>305</v>
      </c>
      <c r="T323" s="4">
        <v>117.06418035986906</v>
      </c>
      <c r="U323" s="7">
        <v>0.17640619394904089</v>
      </c>
    </row>
    <row r="324" spans="19:21" x14ac:dyDescent="0.25">
      <c r="S324" s="11">
        <v>306</v>
      </c>
      <c r="T324" s="4">
        <v>98.327995670496591</v>
      </c>
      <c r="U324" s="7">
        <v>-1.1878246703883155E-2</v>
      </c>
    </row>
    <row r="325" spans="19:21" x14ac:dyDescent="0.25">
      <c r="S325" s="11">
        <v>307</v>
      </c>
      <c r="T325" s="4">
        <v>93.518040940311977</v>
      </c>
      <c r="U325" s="7">
        <v>-6.0214642344367686E-2</v>
      </c>
    </row>
    <row r="326" spans="19:21" x14ac:dyDescent="0.25">
      <c r="S326" s="11">
        <v>308</v>
      </c>
      <c r="T326" s="4">
        <v>272.21993530857748</v>
      </c>
      <c r="U326" s="7">
        <v>1.7356038117634154</v>
      </c>
    </row>
    <row r="327" spans="19:21" x14ac:dyDescent="0.25">
      <c r="S327" s="11">
        <v>309</v>
      </c>
      <c r="T327" s="4">
        <v>119.04809926113374</v>
      </c>
      <c r="U327" s="7">
        <v>0.19634307367233172</v>
      </c>
    </row>
    <row r="328" spans="19:21" x14ac:dyDescent="0.25">
      <c r="S328" s="11">
        <v>310</v>
      </c>
      <c r="T328" s="4">
        <v>93.013131743521996</v>
      </c>
      <c r="U328" s="7">
        <v>-6.5288596688554024E-2</v>
      </c>
    </row>
    <row r="329" spans="19:21" x14ac:dyDescent="0.25">
      <c r="S329" s="11">
        <v>311</v>
      </c>
      <c r="T329" s="4">
        <v>229.27841737101267</v>
      </c>
      <c r="U329" s="7">
        <v>1.3040741369813351</v>
      </c>
    </row>
    <row r="330" spans="19:21" x14ac:dyDescent="0.25">
      <c r="S330" s="11">
        <v>312</v>
      </c>
      <c r="T330" s="4">
        <v>152.24759954840073</v>
      </c>
      <c r="U330" s="7">
        <v>0.52997286251030773</v>
      </c>
    </row>
    <row r="331" spans="19:21" x14ac:dyDescent="0.25">
      <c r="S331" s="11">
        <v>313</v>
      </c>
      <c r="T331" s="4">
        <v>184.0576849950763</v>
      </c>
      <c r="U331" s="7">
        <v>0.84964008637399546</v>
      </c>
    </row>
    <row r="332" spans="19:21" x14ac:dyDescent="0.25">
      <c r="S332" s="11">
        <v>314</v>
      </c>
      <c r="T332" s="4">
        <v>120.9973307769669</v>
      </c>
      <c r="U332" s="7">
        <v>0.21593137148996977</v>
      </c>
    </row>
    <row r="333" spans="19:21" x14ac:dyDescent="0.25">
      <c r="S333" s="11">
        <v>315</v>
      </c>
      <c r="T333" s="4">
        <v>119.10883576540949</v>
      </c>
      <c r="U333" s="7">
        <v>0.19695342945844119</v>
      </c>
    </row>
    <row r="334" spans="19:21" x14ac:dyDescent="0.25">
      <c r="S334" s="11">
        <v>316</v>
      </c>
      <c r="T334" s="4">
        <v>149.7741221358186</v>
      </c>
      <c r="U334" s="7">
        <v>0.50511629118499246</v>
      </c>
    </row>
    <row r="335" spans="19:21" x14ac:dyDescent="0.25">
      <c r="S335" s="11">
        <v>317</v>
      </c>
      <c r="T335" s="4">
        <v>147.19619274086773</v>
      </c>
      <c r="U335" s="7">
        <v>0.47921005668644079</v>
      </c>
    </row>
    <row r="336" spans="19:21" x14ac:dyDescent="0.25">
      <c r="S336" s="11">
        <v>318</v>
      </c>
      <c r="T336" s="4">
        <v>107.44328129052803</v>
      </c>
      <c r="U336" s="7">
        <v>7.9723457848739132E-2</v>
      </c>
    </row>
    <row r="337" spans="19:21" x14ac:dyDescent="0.25">
      <c r="S337" s="11">
        <v>319</v>
      </c>
      <c r="T337" s="4">
        <v>108.53300967017231</v>
      </c>
      <c r="U337" s="7">
        <v>9.0674401267935911E-2</v>
      </c>
    </row>
    <row r="338" spans="19:21" x14ac:dyDescent="0.25">
      <c r="S338" s="11">
        <v>320</v>
      </c>
      <c r="T338" s="4">
        <v>77.767279585605806</v>
      </c>
      <c r="U338" s="7">
        <v>-0.2184978435774716</v>
      </c>
    </row>
    <row r="339" spans="19:21" x14ac:dyDescent="0.25">
      <c r="S339" s="11">
        <v>321</v>
      </c>
      <c r="T339" s="4">
        <v>121.26277535690312</v>
      </c>
      <c r="U339" s="7">
        <v>0.21859888812082318</v>
      </c>
    </row>
    <row r="340" spans="19:21" x14ac:dyDescent="0.25">
      <c r="S340" s="11">
        <v>322</v>
      </c>
      <c r="T340" s="4">
        <v>113.88860755761557</v>
      </c>
      <c r="U340" s="7">
        <v>0.14449409664973945</v>
      </c>
    </row>
    <row r="341" spans="19:21" x14ac:dyDescent="0.25">
      <c r="S341" s="11">
        <v>323</v>
      </c>
      <c r="T341" s="4">
        <v>122.72936272685624</v>
      </c>
      <c r="U341" s="7">
        <v>0.23333697846303125</v>
      </c>
    </row>
    <row r="342" spans="19:21" x14ac:dyDescent="0.25">
      <c r="S342" s="11">
        <v>324</v>
      </c>
      <c r="T342" s="4">
        <v>98.534791204482545</v>
      </c>
      <c r="U342" s="7">
        <v>-9.8001084867597177E-3</v>
      </c>
    </row>
    <row r="343" spans="19:21" x14ac:dyDescent="0.25">
      <c r="S343" s="11">
        <v>325</v>
      </c>
      <c r="T343" s="4">
        <v>74.854149255173098</v>
      </c>
      <c r="U343" s="7">
        <v>-0.24777259315472722</v>
      </c>
    </row>
    <row r="344" spans="19:21" x14ac:dyDescent="0.25">
      <c r="S344" s="11">
        <v>326</v>
      </c>
      <c r="T344" s="4">
        <v>89.32797675835333</v>
      </c>
      <c r="U344" s="7">
        <v>-0.10232160829712267</v>
      </c>
    </row>
    <row r="345" spans="19:21" x14ac:dyDescent="0.25">
      <c r="S345" s="11">
        <v>327</v>
      </c>
      <c r="T345" s="4">
        <v>116.66296245131579</v>
      </c>
      <c r="U345" s="7">
        <v>0.17237425837921605</v>
      </c>
    </row>
    <row r="346" spans="19:21" x14ac:dyDescent="0.25">
      <c r="S346" s="11">
        <v>328</v>
      </c>
      <c r="T346" s="4">
        <v>148.90456987324268</v>
      </c>
      <c r="U346" s="7">
        <v>0.4963779506908117</v>
      </c>
    </row>
    <row r="347" spans="19:21" x14ac:dyDescent="0.25">
      <c r="S347" s="11">
        <v>329</v>
      </c>
      <c r="T347" s="4">
        <v>105.09799574088807</v>
      </c>
      <c r="U347" s="7">
        <v>5.6155117484554928E-2</v>
      </c>
    </row>
    <row r="348" spans="19:21" x14ac:dyDescent="0.25">
      <c r="S348" s="11">
        <v>330</v>
      </c>
      <c r="T348" s="4">
        <v>61.855063032977284</v>
      </c>
      <c r="U348" s="7">
        <v>-0.37840354705077595</v>
      </c>
    </row>
    <row r="349" spans="19:21" x14ac:dyDescent="0.25">
      <c r="S349" s="11">
        <v>331</v>
      </c>
      <c r="T349" s="4">
        <v>108.01793455991303</v>
      </c>
      <c r="U349" s="7">
        <v>8.5498287206441814E-2</v>
      </c>
    </row>
    <row r="350" spans="19:21" x14ac:dyDescent="0.25">
      <c r="S350" s="11">
        <v>332</v>
      </c>
      <c r="T350" s="4">
        <v>137.79864570192146</v>
      </c>
      <c r="U350" s="7">
        <v>0.38477183903046375</v>
      </c>
    </row>
    <row r="351" spans="19:21" x14ac:dyDescent="0.25">
      <c r="S351" s="11">
        <v>333</v>
      </c>
      <c r="T351" s="4">
        <v>146.85454550532143</v>
      </c>
      <c r="U351" s="7">
        <v>0.47577676118301104</v>
      </c>
    </row>
    <row r="352" spans="19:21" x14ac:dyDescent="0.25">
      <c r="S352" s="11">
        <v>334</v>
      </c>
      <c r="T352" s="4">
        <v>133.31246851157232</v>
      </c>
      <c r="U352" s="7">
        <v>0.33968916200957011</v>
      </c>
    </row>
    <row r="353" spans="19:21" x14ac:dyDescent="0.25">
      <c r="S353" s="11">
        <v>335</v>
      </c>
      <c r="T353" s="4">
        <v>138.4060709140052</v>
      </c>
      <c r="U353" s="7">
        <v>0.39087600154763535</v>
      </c>
    </row>
    <row r="354" spans="19:21" x14ac:dyDescent="0.25">
      <c r="S354" s="11">
        <v>336</v>
      </c>
      <c r="T354" s="4">
        <v>159.15351694164681</v>
      </c>
      <c r="U354" s="7">
        <v>0.59937209267055369</v>
      </c>
    </row>
    <row r="355" spans="19:21" x14ac:dyDescent="0.25">
      <c r="S355" s="11">
        <v>337</v>
      </c>
      <c r="T355" s="4">
        <v>122.74541103315929</v>
      </c>
      <c r="U355" s="7">
        <v>0.23349825176524241</v>
      </c>
    </row>
    <row r="356" spans="19:21" x14ac:dyDescent="0.25">
      <c r="S356" s="11">
        <v>338</v>
      </c>
      <c r="T356" s="4">
        <v>170.8367529240854</v>
      </c>
      <c r="U356" s="7">
        <v>0.71677975001593208</v>
      </c>
    </row>
    <row r="357" spans="19:21" x14ac:dyDescent="0.25">
      <c r="S357" s="11">
        <v>339</v>
      </c>
      <c r="T357" s="4">
        <v>166.64249162857334</v>
      </c>
      <c r="U357" s="7">
        <v>0.6746306062563896</v>
      </c>
    </row>
    <row r="358" spans="19:21" x14ac:dyDescent="0.25">
      <c r="S358" s="11">
        <v>340</v>
      </c>
      <c r="T358" s="4">
        <v>118.69894464563271</v>
      </c>
      <c r="U358" s="7">
        <v>0.19283433469633904</v>
      </c>
    </row>
    <row r="359" spans="19:21" x14ac:dyDescent="0.25">
      <c r="S359" s="11">
        <v>341</v>
      </c>
      <c r="T359" s="4">
        <v>158.31317512381963</v>
      </c>
      <c r="U359" s="7">
        <v>0.59092729498361596</v>
      </c>
    </row>
    <row r="360" spans="19:21" x14ac:dyDescent="0.25">
      <c r="S360" s="11">
        <v>342</v>
      </c>
      <c r="T360" s="4">
        <v>90.687250378601377</v>
      </c>
      <c r="U360" s="7">
        <v>-8.8661939718607474E-2</v>
      </c>
    </row>
    <row r="361" spans="19:21" x14ac:dyDescent="0.25">
      <c r="S361" s="11">
        <v>343</v>
      </c>
      <c r="T361" s="4">
        <v>136.46298785624541</v>
      </c>
      <c r="U361" s="7">
        <v>0.37134949106869053</v>
      </c>
    </row>
    <row r="362" spans="19:21" x14ac:dyDescent="0.25">
      <c r="S362" s="11">
        <v>344</v>
      </c>
      <c r="T362" s="4">
        <v>238.53001330931394</v>
      </c>
      <c r="U362" s="7">
        <v>1.3970456568115157</v>
      </c>
    </row>
    <row r="363" spans="19:21" x14ac:dyDescent="0.25">
      <c r="S363" s="11">
        <v>345</v>
      </c>
      <c r="T363" s="4">
        <v>142.1922130764973</v>
      </c>
      <c r="U363" s="7">
        <v>0.42892385766754382</v>
      </c>
    </row>
    <row r="364" spans="19:21" x14ac:dyDescent="0.25">
      <c r="S364" s="11">
        <v>346</v>
      </c>
      <c r="T364" s="4">
        <v>198.7451828059005</v>
      </c>
      <c r="U364" s="7">
        <v>0.99723829570797395</v>
      </c>
    </row>
    <row r="365" spans="19:21" x14ac:dyDescent="0.25">
      <c r="S365" s="11">
        <v>347</v>
      </c>
      <c r="T365" s="4">
        <v>170.24270495573685</v>
      </c>
      <c r="U365" s="7">
        <v>0.71081001864874738</v>
      </c>
    </row>
    <row r="366" spans="19:21" x14ac:dyDescent="0.25">
      <c r="S366" s="11">
        <v>348</v>
      </c>
      <c r="T366" s="4">
        <v>128.07504528226892</v>
      </c>
      <c r="U366" s="7">
        <v>0.28705703228086543</v>
      </c>
    </row>
    <row r="367" spans="19:21" x14ac:dyDescent="0.25">
      <c r="S367" s="11">
        <v>349</v>
      </c>
      <c r="T367" s="4">
        <v>131.55812229886988</v>
      </c>
      <c r="U367" s="7">
        <v>0.32205931362546347</v>
      </c>
    </row>
    <row r="368" spans="19:21" x14ac:dyDescent="0.25">
      <c r="S368" s="11">
        <v>350</v>
      </c>
      <c r="T368" s="4">
        <v>132.99654051346008</v>
      </c>
      <c r="U368" s="7">
        <v>0.33651432532871128</v>
      </c>
    </row>
    <row r="369" spans="19:21" x14ac:dyDescent="0.25">
      <c r="S369" s="11">
        <v>351</v>
      </c>
      <c r="T369" s="4">
        <v>123.07383052872774</v>
      </c>
      <c r="U369" s="7">
        <v>0.23679861851801554</v>
      </c>
    </row>
    <row r="370" spans="19:21" x14ac:dyDescent="0.25">
      <c r="S370" s="11">
        <v>352</v>
      </c>
      <c r="T370" s="4">
        <v>104.65632526217166</v>
      </c>
      <c r="U370" s="7">
        <v>5.1716664276672208E-2</v>
      </c>
    </row>
    <row r="371" spans="19:21" x14ac:dyDescent="0.25">
      <c r="S371" s="11">
        <v>353</v>
      </c>
      <c r="T371" s="4">
        <v>159.97564455044591</v>
      </c>
      <c r="U371" s="7">
        <v>0.60763385137620229</v>
      </c>
    </row>
    <row r="372" spans="19:21" x14ac:dyDescent="0.25">
      <c r="S372" s="11">
        <v>354</v>
      </c>
      <c r="T372" s="4">
        <v>141.10477090475121</v>
      </c>
      <c r="U372" s="7">
        <v>0.41799588890313744</v>
      </c>
    </row>
    <row r="373" spans="19:21" x14ac:dyDescent="0.25">
      <c r="S373" s="11">
        <v>355</v>
      </c>
      <c r="T373" s="4">
        <v>82.597951897871383</v>
      </c>
      <c r="U373" s="7">
        <v>-0.16995325195586997</v>
      </c>
    </row>
    <row r="374" spans="19:21" x14ac:dyDescent="0.25">
      <c r="S374" s="11">
        <v>356</v>
      </c>
      <c r="T374" s="4">
        <v>136.00622136843913</v>
      </c>
      <c r="U374" s="7">
        <v>0.36675933442306419</v>
      </c>
    </row>
    <row r="375" spans="19:21" x14ac:dyDescent="0.25">
      <c r="S375" s="11">
        <v>357</v>
      </c>
      <c r="T375" s="4">
        <v>130.67437933532756</v>
      </c>
      <c r="U375" s="7">
        <v>0.31317836735330662</v>
      </c>
    </row>
    <row r="376" spans="19:21" x14ac:dyDescent="0.25">
      <c r="S376" s="11">
        <v>358</v>
      </c>
      <c r="T376" s="4">
        <v>138.85827535638751</v>
      </c>
      <c r="U376" s="7">
        <v>0.39542031309805559</v>
      </c>
    </row>
    <row r="377" spans="19:21" x14ac:dyDescent="0.25">
      <c r="S377" s="11">
        <v>359</v>
      </c>
      <c r="T377" s="4">
        <v>97.121396120990568</v>
      </c>
      <c r="U377" s="7">
        <v>-2.4003656707963339E-2</v>
      </c>
    </row>
    <row r="378" spans="19:21" x14ac:dyDescent="0.25">
      <c r="S378" s="11">
        <v>360</v>
      </c>
      <c r="T378" s="4">
        <v>113.05540971570983</v>
      </c>
      <c r="U378" s="7">
        <v>0.13612109050055099</v>
      </c>
    </row>
    <row r="379" spans="19:21" x14ac:dyDescent="0.25">
      <c r="S379" s="11">
        <v>361</v>
      </c>
      <c r="T379" s="4">
        <v>96.806723993025869</v>
      </c>
      <c r="U379" s="7">
        <v>-2.7165872846690142E-2</v>
      </c>
    </row>
    <row r="380" spans="19:21" x14ac:dyDescent="0.25">
      <c r="S380" s="11">
        <v>362</v>
      </c>
      <c r="T380" s="4">
        <v>222.05594858531995</v>
      </c>
      <c r="U380" s="7">
        <v>1.2314938055001501</v>
      </c>
    </row>
    <row r="381" spans="19:21" x14ac:dyDescent="0.25">
      <c r="S381" s="11">
        <v>363</v>
      </c>
      <c r="T381" s="4">
        <v>118.18655961562594</v>
      </c>
      <c r="U381" s="7">
        <v>0.18768525390037105</v>
      </c>
    </row>
    <row r="382" spans="19:21" x14ac:dyDescent="0.25">
      <c r="S382" s="11">
        <v>364</v>
      </c>
      <c r="T382" s="4">
        <v>136.6499776566985</v>
      </c>
      <c r="U382" s="7">
        <v>0.37322859669076958</v>
      </c>
    </row>
    <row r="383" spans="19:21" x14ac:dyDescent="0.25">
      <c r="S383" s="11">
        <v>365</v>
      </c>
      <c r="T383" s="4">
        <v>167.24361147984567</v>
      </c>
      <c r="U383" s="7">
        <v>0.68067140468139553</v>
      </c>
    </row>
    <row r="384" spans="19:21" x14ac:dyDescent="0.25">
      <c r="S384" s="11">
        <v>366</v>
      </c>
      <c r="T384" s="4">
        <v>236.20845712063624</v>
      </c>
      <c r="U384" s="7">
        <v>1.3737157785211158</v>
      </c>
    </row>
    <row r="385" spans="19:21" x14ac:dyDescent="0.25">
      <c r="S385" s="11">
        <v>367</v>
      </c>
      <c r="T385" s="4">
        <v>129.59239510511696</v>
      </c>
      <c r="U385" s="7">
        <v>0.30230524676029491</v>
      </c>
    </row>
    <row r="386" spans="19:21" x14ac:dyDescent="0.25">
      <c r="S386" s="11">
        <v>368</v>
      </c>
      <c r="T386" s="4">
        <v>149.67404000645547</v>
      </c>
      <c r="U386" s="7">
        <v>0.50411054171897751</v>
      </c>
    </row>
    <row r="387" spans="19:21" x14ac:dyDescent="0.25">
      <c r="S387" s="11">
        <v>369</v>
      </c>
      <c r="T387" s="4">
        <v>108.93473327975234</v>
      </c>
      <c r="U387" s="7">
        <v>9.4711418749395371E-2</v>
      </c>
    </row>
    <row r="388" spans="19:21" x14ac:dyDescent="0.25">
      <c r="S388" s="11">
        <v>370</v>
      </c>
      <c r="T388" s="4">
        <v>110.26421879900968</v>
      </c>
      <c r="U388" s="7">
        <v>0.10807173951371407</v>
      </c>
    </row>
    <row r="389" spans="19:21" x14ac:dyDescent="0.25">
      <c r="S389" s="11">
        <v>371</v>
      </c>
      <c r="T389" s="4">
        <v>148.33577720160488</v>
      </c>
      <c r="U389" s="7">
        <v>0.49066201589392899</v>
      </c>
    </row>
    <row r="390" spans="19:21" x14ac:dyDescent="0.25">
      <c r="S390" s="11">
        <v>372</v>
      </c>
      <c r="T390" s="4">
        <v>133.95718668662053</v>
      </c>
      <c r="U390" s="7">
        <v>0.34616809050970287</v>
      </c>
    </row>
    <row r="391" spans="19:21" x14ac:dyDescent="0.25">
      <c r="S391" s="11">
        <v>373</v>
      </c>
      <c r="T391" s="4">
        <v>157.85773048798666</v>
      </c>
      <c r="U391" s="7">
        <v>0.58635042194740872</v>
      </c>
    </row>
    <row r="392" spans="19:21" x14ac:dyDescent="0.25">
      <c r="S392" s="11">
        <v>374</v>
      </c>
      <c r="T392" s="4">
        <v>137.99592271753721</v>
      </c>
      <c r="U392" s="7">
        <v>0.38675432335983517</v>
      </c>
    </row>
    <row r="393" spans="19:21" x14ac:dyDescent="0.25">
      <c r="S393" s="11">
        <v>375</v>
      </c>
      <c r="T393" s="4">
        <v>121.36945756653709</v>
      </c>
      <c r="U393" s="7">
        <v>0.21967096338596215</v>
      </c>
    </row>
    <row r="394" spans="19:21" x14ac:dyDescent="0.25">
      <c r="S394" s="11">
        <v>376</v>
      </c>
      <c r="T394" s="4">
        <v>156.32162439395708</v>
      </c>
      <c r="U394" s="7">
        <v>0.57091372117331995</v>
      </c>
    </row>
    <row r="395" spans="19:21" x14ac:dyDescent="0.25">
      <c r="S395" s="11">
        <v>377</v>
      </c>
      <c r="T395" s="4">
        <v>88.473653807064366</v>
      </c>
      <c r="U395" s="7">
        <v>-0.11090690576761775</v>
      </c>
    </row>
    <row r="396" spans="19:21" x14ac:dyDescent="0.25">
      <c r="S396" s="11">
        <v>378</v>
      </c>
      <c r="T396" s="4">
        <v>109.68887680966021</v>
      </c>
      <c r="U396" s="7">
        <v>0.10228998904291231</v>
      </c>
    </row>
    <row r="397" spans="19:21" x14ac:dyDescent="0.25">
      <c r="S397" s="11">
        <v>379</v>
      </c>
      <c r="T397" s="4">
        <v>74.246993275667649</v>
      </c>
      <c r="U397" s="7">
        <v>-0.25387405008875852</v>
      </c>
    </row>
    <row r="398" spans="19:21" x14ac:dyDescent="0.25">
      <c r="S398" s="11">
        <v>380</v>
      </c>
      <c r="T398" s="4">
        <v>104.50938622607823</v>
      </c>
      <c r="U398" s="7">
        <v>5.0240038449183233E-2</v>
      </c>
    </row>
    <row r="399" spans="19:21" x14ac:dyDescent="0.25">
      <c r="S399" s="11">
        <v>381</v>
      </c>
      <c r="T399" s="4">
        <v>78.465415229850876</v>
      </c>
      <c r="U399" s="7">
        <v>-0.21148211004069062</v>
      </c>
    </row>
    <row r="400" spans="19:21" x14ac:dyDescent="0.25">
      <c r="S400" s="11">
        <v>382</v>
      </c>
      <c r="T400" s="4">
        <v>151.14690497854463</v>
      </c>
      <c r="U400" s="7">
        <v>0.51891171719972484</v>
      </c>
    </row>
    <row r="401" spans="19:21" x14ac:dyDescent="0.25">
      <c r="S401" s="11">
        <v>383</v>
      </c>
      <c r="T401" s="4">
        <v>77.277051965163665</v>
      </c>
      <c r="U401" s="7">
        <v>-0.22342425921853426</v>
      </c>
    </row>
    <row r="402" spans="19:21" x14ac:dyDescent="0.25">
      <c r="S402" s="11">
        <v>384</v>
      </c>
      <c r="T402" s="4">
        <v>194.32438180189664</v>
      </c>
      <c r="U402" s="7">
        <v>0.95281259975777943</v>
      </c>
    </row>
    <row r="403" spans="19:21" x14ac:dyDescent="0.25">
      <c r="S403" s="11">
        <v>385</v>
      </c>
      <c r="T403" s="4">
        <v>130.99500375805655</v>
      </c>
      <c r="U403" s="7">
        <v>0.31640039953830312</v>
      </c>
    </row>
    <row r="404" spans="19:21" x14ac:dyDescent="0.25">
      <c r="S404" s="11">
        <v>386</v>
      </c>
      <c r="T404" s="4">
        <v>142.54833530462091</v>
      </c>
      <c r="U404" s="7">
        <v>0.43250261586394223</v>
      </c>
    </row>
    <row r="405" spans="19:21" x14ac:dyDescent="0.25">
      <c r="S405" s="11">
        <v>387</v>
      </c>
      <c r="T405" s="4">
        <v>50.203231565522103</v>
      </c>
      <c r="U405" s="7">
        <v>-0.49549561284773291</v>
      </c>
    </row>
    <row r="406" spans="19:21" x14ac:dyDescent="0.25">
      <c r="S406" s="11">
        <v>388</v>
      </c>
      <c r="T406" s="4">
        <v>139.58722271775193</v>
      </c>
      <c r="U406" s="7">
        <v>0.40274568101449026</v>
      </c>
    </row>
    <row r="407" spans="19:21" x14ac:dyDescent="0.25">
      <c r="S407" s="11">
        <v>389</v>
      </c>
      <c r="T407" s="4">
        <v>159.66260248319739</v>
      </c>
      <c r="U407" s="7">
        <v>0.6044880161109174</v>
      </c>
    </row>
    <row r="408" spans="19:21" x14ac:dyDescent="0.25">
      <c r="S408" s="11">
        <v>390</v>
      </c>
      <c r="T408" s="4">
        <v>124.82601768875298</v>
      </c>
      <c r="U408" s="7">
        <v>0.2544067700608279</v>
      </c>
    </row>
    <row r="409" spans="19:21" x14ac:dyDescent="0.25">
      <c r="S409" s="11">
        <v>391</v>
      </c>
      <c r="T409" s="4">
        <v>117.2867531985508</v>
      </c>
      <c r="U409" s="7">
        <v>0.1786428821078363</v>
      </c>
    </row>
    <row r="410" spans="19:21" x14ac:dyDescent="0.25">
      <c r="S410" s="11">
        <v>392</v>
      </c>
      <c r="T410" s="4">
        <v>85.597157972559586</v>
      </c>
      <c r="U410" s="7">
        <v>-0.13981350645603874</v>
      </c>
    </row>
    <row r="411" spans="19:21" x14ac:dyDescent="0.25">
      <c r="S411" s="11">
        <v>393</v>
      </c>
      <c r="T411" s="4">
        <v>125.80386567646717</v>
      </c>
      <c r="U411" s="7">
        <v>0.2642334004267628</v>
      </c>
    </row>
    <row r="412" spans="19:21" x14ac:dyDescent="0.25">
      <c r="S412" s="11">
        <v>394</v>
      </c>
      <c r="T412" s="4">
        <v>149.74306380401507</v>
      </c>
      <c r="U412" s="7">
        <v>0.50480417851487336</v>
      </c>
    </row>
    <row r="413" spans="19:21" x14ac:dyDescent="0.25">
      <c r="S413" s="11">
        <v>395</v>
      </c>
      <c r="T413" s="4">
        <v>91.029757117911089</v>
      </c>
      <c r="U413" s="7">
        <v>-8.522000685447606E-2</v>
      </c>
    </row>
    <row r="414" spans="19:21" x14ac:dyDescent="0.25">
      <c r="S414" s="11">
        <v>396</v>
      </c>
      <c r="T414" s="4">
        <v>154.73566293711485</v>
      </c>
      <c r="U414" s="7">
        <v>0.55497601182911116</v>
      </c>
    </row>
    <row r="415" spans="19:21" x14ac:dyDescent="0.25">
      <c r="S415" s="11">
        <v>397</v>
      </c>
      <c r="T415" s="4">
        <v>90.53349208456477</v>
      </c>
      <c r="U415" s="7">
        <v>-9.020709391453352E-2</v>
      </c>
    </row>
    <row r="416" spans="19:21" x14ac:dyDescent="0.25">
      <c r="S416" s="11">
        <v>398</v>
      </c>
      <c r="T416" s="4">
        <v>121.91918620095605</v>
      </c>
      <c r="U416" s="7">
        <v>0.22519531907301826</v>
      </c>
    </row>
    <row r="417" spans="19:21" x14ac:dyDescent="0.25">
      <c r="S417" s="11">
        <v>399</v>
      </c>
      <c r="T417" s="4">
        <v>130.93463745561422</v>
      </c>
      <c r="U417" s="7">
        <v>0.3157937639997408</v>
      </c>
    </row>
    <row r="418" spans="19:21" x14ac:dyDescent="0.25">
      <c r="S418" s="11">
        <v>400</v>
      </c>
      <c r="T418" s="4">
        <v>139.18536888282111</v>
      </c>
      <c r="U418" s="7">
        <v>0.39870735486705966</v>
      </c>
    </row>
    <row r="419" spans="19:21" x14ac:dyDescent="0.25">
      <c r="S419" s="11">
        <v>401</v>
      </c>
      <c r="T419" s="4">
        <v>80.239361383646042</v>
      </c>
      <c r="U419" s="7">
        <v>-0.19365529711942475</v>
      </c>
    </row>
    <row r="420" spans="19:21" x14ac:dyDescent="0.25">
      <c r="S420" s="11">
        <v>402</v>
      </c>
      <c r="T420" s="4">
        <v>167.60586658563193</v>
      </c>
      <c r="U420" s="7">
        <v>0.68431179364518058</v>
      </c>
    </row>
    <row r="421" spans="19:21" x14ac:dyDescent="0.25">
      <c r="S421" s="11">
        <v>403</v>
      </c>
      <c r="T421" s="4">
        <v>97.151907333121414</v>
      </c>
      <c r="U421" s="7">
        <v>-2.3697042175445548E-2</v>
      </c>
    </row>
    <row r="422" spans="19:21" x14ac:dyDescent="0.25">
      <c r="S422" s="11">
        <v>404</v>
      </c>
      <c r="T422" s="4">
        <v>128.97902614932289</v>
      </c>
      <c r="U422" s="7">
        <v>0.29614135412845832</v>
      </c>
    </row>
    <row r="423" spans="19:21" x14ac:dyDescent="0.25">
      <c r="S423" s="11">
        <v>405</v>
      </c>
      <c r="T423" s="4">
        <v>108.33936477733029</v>
      </c>
      <c r="U423" s="7">
        <v>8.8728417016684658E-2</v>
      </c>
    </row>
    <row r="424" spans="19:21" x14ac:dyDescent="0.25">
      <c r="S424" s="11">
        <v>406</v>
      </c>
      <c r="T424" s="4">
        <v>149.49643367319186</v>
      </c>
      <c r="U424" s="7">
        <v>0.50232573282274995</v>
      </c>
    </row>
    <row r="425" spans="19:21" x14ac:dyDescent="0.25">
      <c r="S425" s="11">
        <v>407</v>
      </c>
      <c r="T425" s="4">
        <v>203.11248292827236</v>
      </c>
      <c r="U425" s="7">
        <v>1.0411263483898336</v>
      </c>
    </row>
    <row r="426" spans="19:21" x14ac:dyDescent="0.25">
      <c r="S426" s="11">
        <v>408</v>
      </c>
      <c r="T426" s="4">
        <v>171.73473459466049</v>
      </c>
      <c r="U426" s="7">
        <v>0.72580378449060889</v>
      </c>
    </row>
    <row r="427" spans="19:21" x14ac:dyDescent="0.25">
      <c r="S427" s="11">
        <v>409</v>
      </c>
      <c r="T427" s="4">
        <v>168.71550806138382</v>
      </c>
      <c r="U427" s="7">
        <v>0.69546284857184015</v>
      </c>
    </row>
    <row r="428" spans="19:21" x14ac:dyDescent="0.25">
      <c r="S428" s="11">
        <v>410</v>
      </c>
      <c r="T428" s="4">
        <v>196.69590361205431</v>
      </c>
      <c r="U428" s="7">
        <v>0.9766445946342508</v>
      </c>
    </row>
    <row r="429" spans="19:21" x14ac:dyDescent="0.25">
      <c r="S429" s="11">
        <v>411</v>
      </c>
      <c r="T429" s="4">
        <v>139.65452537709331</v>
      </c>
      <c r="U429" s="7">
        <v>0.40342202167715113</v>
      </c>
    </row>
    <row r="430" spans="19:21" x14ac:dyDescent="0.25">
      <c r="S430" s="11">
        <v>412</v>
      </c>
      <c r="T430" s="4">
        <v>94.752181123755022</v>
      </c>
      <c r="U430" s="7">
        <v>-4.7812469864787266E-2</v>
      </c>
    </row>
    <row r="431" spans="19:21" x14ac:dyDescent="0.25">
      <c r="S431" s="11">
        <v>413</v>
      </c>
      <c r="T431" s="4">
        <v>83.146541009031253</v>
      </c>
      <c r="U431" s="7">
        <v>-0.1644403476129912</v>
      </c>
    </row>
    <row r="432" spans="19:21" x14ac:dyDescent="0.25">
      <c r="S432" s="11">
        <v>414</v>
      </c>
      <c r="T432" s="4">
        <v>121.36024730565182</v>
      </c>
      <c r="U432" s="7">
        <v>0.21957840725205324</v>
      </c>
    </row>
    <row r="433" spans="19:21" x14ac:dyDescent="0.25">
      <c r="S433" s="11">
        <v>415</v>
      </c>
      <c r="T433" s="4">
        <v>166.15935637790054</v>
      </c>
      <c r="U433" s="7">
        <v>0.66977546355040229</v>
      </c>
    </row>
    <row r="434" spans="19:21" x14ac:dyDescent="0.25">
      <c r="S434" s="11">
        <v>416</v>
      </c>
      <c r="T434" s="4">
        <v>139.61259158414111</v>
      </c>
      <c r="U434" s="7">
        <v>0.40300061887389305</v>
      </c>
    </row>
    <row r="435" spans="19:21" x14ac:dyDescent="0.25">
      <c r="S435" s="11">
        <v>417</v>
      </c>
      <c r="T435" s="4">
        <v>140.49965745660413</v>
      </c>
      <c r="U435" s="7">
        <v>0.4119149578595529</v>
      </c>
    </row>
    <row r="436" spans="19:21" x14ac:dyDescent="0.25">
      <c r="S436" s="11">
        <v>418</v>
      </c>
      <c r="T436" s="4">
        <v>139.69534860777543</v>
      </c>
      <c r="U436" s="7">
        <v>0.40383226417219809</v>
      </c>
    </row>
    <row r="437" spans="19:21" x14ac:dyDescent="0.25">
      <c r="S437" s="11">
        <v>419</v>
      </c>
      <c r="T437" s="4">
        <v>106.12300235353496</v>
      </c>
      <c r="U437" s="7">
        <v>6.6455656250979267E-2</v>
      </c>
    </row>
    <row r="438" spans="19:21" x14ac:dyDescent="0.25">
      <c r="S438" s="11">
        <v>420</v>
      </c>
      <c r="T438" s="4">
        <v>128.04751641735612</v>
      </c>
      <c r="U438" s="7">
        <v>0.28678038807512918</v>
      </c>
    </row>
    <row r="439" spans="19:21" x14ac:dyDescent="0.25">
      <c r="S439" s="11">
        <v>421</v>
      </c>
      <c r="T439" s="4">
        <v>137.08902408675718</v>
      </c>
      <c r="U439" s="7">
        <v>0.37764068020055452</v>
      </c>
    </row>
    <row r="440" spans="19:21" x14ac:dyDescent="0.25">
      <c r="S440" s="11">
        <v>422</v>
      </c>
      <c r="T440" s="4">
        <v>141.59659545452902</v>
      </c>
      <c r="U440" s="7">
        <v>0.42293835247240485</v>
      </c>
    </row>
    <row r="441" spans="19:21" x14ac:dyDescent="0.25">
      <c r="S441" s="11">
        <v>423</v>
      </c>
      <c r="T441" s="4">
        <v>111.57976127240953</v>
      </c>
      <c r="U441" s="7">
        <v>0.12129194324600068</v>
      </c>
    </row>
    <row r="442" spans="19:21" x14ac:dyDescent="0.25">
      <c r="S442" s="11">
        <v>424</v>
      </c>
      <c r="T442" s="4">
        <v>159.58743346294619</v>
      </c>
      <c r="U442" s="7">
        <v>0.6037326244894603</v>
      </c>
    </row>
    <row r="443" spans="19:21" x14ac:dyDescent="0.25">
      <c r="S443" s="11">
        <v>425</v>
      </c>
      <c r="T443" s="4">
        <v>212.82559880045153</v>
      </c>
      <c r="U443" s="7">
        <v>1.1387357933921365</v>
      </c>
    </row>
    <row r="444" spans="19:21" x14ac:dyDescent="0.25">
      <c r="S444" s="11">
        <v>426</v>
      </c>
      <c r="T444" s="4">
        <v>118.35120891207086</v>
      </c>
      <c r="U444" s="7">
        <v>0.18933985440730439</v>
      </c>
    </row>
    <row r="445" spans="19:21" x14ac:dyDescent="0.25">
      <c r="S445" s="11">
        <v>427</v>
      </c>
      <c r="T445" s="4">
        <v>172.08354713639514</v>
      </c>
      <c r="U445" s="7">
        <v>0.72930908588478682</v>
      </c>
    </row>
    <row r="446" spans="19:21" x14ac:dyDescent="0.25">
      <c r="S446" s="11">
        <v>428</v>
      </c>
      <c r="T446" s="4">
        <v>106.86473770950965</v>
      </c>
      <c r="U446" s="7">
        <v>7.3909533810769368E-2</v>
      </c>
    </row>
    <row r="447" spans="19:21" x14ac:dyDescent="0.25">
      <c r="S447" s="11">
        <v>429</v>
      </c>
      <c r="T447" s="4">
        <v>114.06000422695054</v>
      </c>
      <c r="U447" s="7">
        <v>0.14621650313486612</v>
      </c>
    </row>
    <row r="448" spans="19:21" x14ac:dyDescent="0.25">
      <c r="S448" s="11">
        <v>430</v>
      </c>
      <c r="T448" s="4">
        <v>99.030616424308093</v>
      </c>
      <c r="U448" s="7">
        <v>-4.8174412188917159E-3</v>
      </c>
    </row>
    <row r="449" spans="19:21" x14ac:dyDescent="0.25">
      <c r="S449" s="11">
        <v>431</v>
      </c>
      <c r="T449" s="4">
        <v>125.8014203172053</v>
      </c>
      <c r="U449" s="7">
        <v>0.26420882642151833</v>
      </c>
    </row>
    <row r="450" spans="19:21" x14ac:dyDescent="0.25">
      <c r="S450" s="11">
        <v>432</v>
      </c>
      <c r="T450" s="4">
        <v>130.17468202752656</v>
      </c>
      <c r="U450" s="7">
        <v>0.30815678853910722</v>
      </c>
    </row>
    <row r="451" spans="19:21" x14ac:dyDescent="0.25">
      <c r="S451" s="11">
        <v>433</v>
      </c>
      <c r="T451" s="4">
        <v>102.12076487438961</v>
      </c>
      <c r="U451" s="7">
        <v>2.6236206154050867E-2</v>
      </c>
    </row>
    <row r="452" spans="19:21" x14ac:dyDescent="0.25">
      <c r="S452" s="11">
        <v>434</v>
      </c>
      <c r="T452" s="4">
        <v>131.86730683288286</v>
      </c>
      <c r="U452" s="7">
        <v>0.32516638360851013</v>
      </c>
    </row>
    <row r="453" spans="19:21" x14ac:dyDescent="0.25">
      <c r="S453" s="11">
        <v>435</v>
      </c>
      <c r="T453" s="4">
        <v>121.68310792457206</v>
      </c>
      <c r="U453" s="7">
        <v>0.22282291151212985</v>
      </c>
    </row>
    <row r="454" spans="19:21" x14ac:dyDescent="0.25">
      <c r="S454" s="11">
        <v>436</v>
      </c>
      <c r="T454" s="4">
        <v>201.65087175682231</v>
      </c>
      <c r="U454" s="7">
        <v>1.0264382650670516</v>
      </c>
    </row>
    <row r="455" spans="19:21" x14ac:dyDescent="0.25">
      <c r="S455" s="11">
        <v>437</v>
      </c>
      <c r="T455" s="4">
        <v>141.24139639016605</v>
      </c>
      <c r="U455" s="7">
        <v>0.41936887137138013</v>
      </c>
    </row>
    <row r="456" spans="19:21" x14ac:dyDescent="0.25">
      <c r="S456" s="11">
        <v>438</v>
      </c>
      <c r="T456" s="4">
        <v>134.59651471497483</v>
      </c>
      <c r="U456" s="7">
        <v>0.35259285212516156</v>
      </c>
    </row>
    <row r="457" spans="19:21" x14ac:dyDescent="0.25">
      <c r="S457" s="11">
        <v>439</v>
      </c>
      <c r="T457" s="4">
        <v>114.95796014538503</v>
      </c>
      <c r="U457" s="7">
        <v>0.15524027882006863</v>
      </c>
    </row>
    <row r="458" spans="19:21" x14ac:dyDescent="0.25">
      <c r="S458" s="11">
        <v>440</v>
      </c>
      <c r="T458" s="4">
        <v>130.76862876438403</v>
      </c>
      <c r="U458" s="7">
        <v>0.31412550260661276</v>
      </c>
    </row>
    <row r="459" spans="19:21" x14ac:dyDescent="0.25">
      <c r="S459" s="11">
        <v>441</v>
      </c>
      <c r="T459" s="4">
        <v>66.395842915295759</v>
      </c>
      <c r="U459" s="7">
        <v>-0.33277215440362018</v>
      </c>
    </row>
    <row r="460" spans="19:21" x14ac:dyDescent="0.25">
      <c r="S460" s="11">
        <v>442</v>
      </c>
      <c r="T460" s="4">
        <v>97.085448815993175</v>
      </c>
      <c r="U460" s="7">
        <v>-2.4364899849329991E-2</v>
      </c>
    </row>
    <row r="461" spans="19:21" x14ac:dyDescent="0.25">
      <c r="S461" s="11">
        <v>443</v>
      </c>
      <c r="T461" s="4">
        <v>106.61533034130009</v>
      </c>
      <c r="U461" s="7">
        <v>7.1403178990052218E-2</v>
      </c>
    </row>
    <row r="462" spans="19:21" x14ac:dyDescent="0.25">
      <c r="S462" s="11">
        <v>444</v>
      </c>
      <c r="T462" s="4">
        <v>157.75426052028408</v>
      </c>
      <c r="U462" s="7">
        <v>0.58531062727649563</v>
      </c>
    </row>
    <row r="463" spans="19:21" x14ac:dyDescent="0.25">
      <c r="S463" s="11">
        <v>445</v>
      </c>
      <c r="T463" s="4">
        <v>146.9384410596152</v>
      </c>
      <c r="U463" s="7">
        <v>0.47661984785062006</v>
      </c>
    </row>
    <row r="464" spans="19:21" x14ac:dyDescent="0.25">
      <c r="S464" s="11">
        <v>446</v>
      </c>
      <c r="T464" s="4">
        <v>162.64422398292692</v>
      </c>
      <c r="U464" s="7">
        <v>0.63445104997414248</v>
      </c>
    </row>
    <row r="465" spans="19:21" x14ac:dyDescent="0.25">
      <c r="S465" s="11">
        <v>447</v>
      </c>
      <c r="T465" s="4">
        <v>87.45691367497551</v>
      </c>
      <c r="U465" s="7">
        <v>-0.12112437267635912</v>
      </c>
    </row>
    <row r="466" spans="19:21" x14ac:dyDescent="0.25">
      <c r="S466" s="11">
        <v>448</v>
      </c>
      <c r="T466" s="4">
        <v>100.51619640486756</v>
      </c>
      <c r="U466" s="7">
        <v>1.0111510449879901E-2</v>
      </c>
    </row>
    <row r="467" spans="19:21" x14ac:dyDescent="0.25">
      <c r="S467" s="11">
        <v>449</v>
      </c>
      <c r="T467" s="4">
        <v>188.03066896036347</v>
      </c>
      <c r="U467" s="7">
        <v>0.88956556085180849</v>
      </c>
    </row>
    <row r="468" spans="19:21" x14ac:dyDescent="0.25">
      <c r="S468" s="11">
        <v>450</v>
      </c>
      <c r="T468" s="4">
        <v>79.103563214991695</v>
      </c>
      <c r="U468" s="7">
        <v>-0.20506920696420772</v>
      </c>
    </row>
    <row r="469" spans="19:21" x14ac:dyDescent="0.25">
      <c r="S469" s="11">
        <v>451</v>
      </c>
      <c r="T469" s="4">
        <v>100.84301516777107</v>
      </c>
      <c r="U469" s="7">
        <v>1.3395791053874673E-2</v>
      </c>
    </row>
    <row r="470" spans="19:21" x14ac:dyDescent="0.25">
      <c r="S470" s="11">
        <v>452</v>
      </c>
      <c r="T470" s="4">
        <v>142.41756870322615</v>
      </c>
      <c r="U470" s="7">
        <v>0.43118851073486231</v>
      </c>
    </row>
    <row r="471" spans="19:21" x14ac:dyDescent="0.25">
      <c r="S471" s="11">
        <v>453</v>
      </c>
      <c r="T471" s="4">
        <v>174.32904168813417</v>
      </c>
      <c r="U471" s="7">
        <v>0.75187460243326454</v>
      </c>
    </row>
    <row r="472" spans="19:21" x14ac:dyDescent="0.25">
      <c r="S472" s="11">
        <v>454</v>
      </c>
      <c r="T472" s="4">
        <v>156.12471306540769</v>
      </c>
      <c r="U472" s="7">
        <v>0.56893491172151234</v>
      </c>
    </row>
    <row r="473" spans="19:21" x14ac:dyDescent="0.25">
      <c r="S473" s="11">
        <v>455</v>
      </c>
      <c r="T473" s="4">
        <v>163.60967160481772</v>
      </c>
      <c r="U473" s="7">
        <v>0.64415306607192968</v>
      </c>
    </row>
    <row r="474" spans="19:21" x14ac:dyDescent="0.25">
      <c r="S474" s="11">
        <v>456</v>
      </c>
      <c r="T474" s="4">
        <v>156.41764189844108</v>
      </c>
      <c r="U474" s="7">
        <v>0.57187862424320235</v>
      </c>
    </row>
    <row r="475" spans="19:21" x14ac:dyDescent="0.25">
      <c r="S475" s="11">
        <v>457</v>
      </c>
      <c r="T475" s="4">
        <v>75.727982414151967</v>
      </c>
      <c r="U475" s="7">
        <v>-0.23899123289968882</v>
      </c>
    </row>
    <row r="476" spans="19:21" x14ac:dyDescent="0.25">
      <c r="S476" s="11">
        <v>458</v>
      </c>
      <c r="T476" s="4">
        <v>138.85446848171392</v>
      </c>
      <c r="U476" s="7">
        <v>0.3953820568959292</v>
      </c>
    </row>
    <row r="477" spans="19:21" x14ac:dyDescent="0.25">
      <c r="S477" s="11">
        <v>459</v>
      </c>
      <c r="T477" s="4">
        <v>71.858110998685873</v>
      </c>
      <c r="U477" s="7">
        <v>-0.27788050448511836</v>
      </c>
    </row>
    <row r="478" spans="19:21" x14ac:dyDescent="0.25">
      <c r="S478" s="11">
        <v>460</v>
      </c>
      <c r="T478" s="4">
        <v>109.0851795628206</v>
      </c>
      <c r="U478" s="7">
        <v>9.6223289747970897E-2</v>
      </c>
    </row>
    <row r="479" spans="19:21" x14ac:dyDescent="0.25">
      <c r="S479" s="11">
        <v>461</v>
      </c>
      <c r="T479" s="4">
        <v>228.11246667264103</v>
      </c>
      <c r="U479" s="7">
        <v>1.2923572170901521</v>
      </c>
    </row>
    <row r="480" spans="19:21" x14ac:dyDescent="0.25">
      <c r="S480" s="11">
        <v>462</v>
      </c>
      <c r="T480" s="4">
        <v>131.48315161877042</v>
      </c>
      <c r="U480" s="7">
        <v>0.32130591517204721</v>
      </c>
    </row>
    <row r="481" spans="19:21" x14ac:dyDescent="0.25">
      <c r="S481" s="11">
        <v>463</v>
      </c>
      <c r="T481" s="4">
        <v>246.76645339616539</v>
      </c>
      <c r="U481" s="7">
        <v>1.4798156305513555</v>
      </c>
    </row>
    <row r="482" spans="19:21" x14ac:dyDescent="0.25">
      <c r="S482" s="11">
        <v>464</v>
      </c>
      <c r="T482" s="4">
        <v>114.34236951153537</v>
      </c>
      <c r="U482" s="7">
        <v>0.14905406000939969</v>
      </c>
    </row>
    <row r="483" spans="19:21" x14ac:dyDescent="0.25">
      <c r="S483" s="11">
        <v>465</v>
      </c>
      <c r="T483" s="4">
        <v>153.39436885407395</v>
      </c>
      <c r="U483" s="7">
        <v>0.54149702395813426</v>
      </c>
    </row>
    <row r="484" spans="19:21" x14ac:dyDescent="0.25">
      <c r="S484" s="11">
        <v>466</v>
      </c>
      <c r="T484" s="4">
        <v>121.87841733053762</v>
      </c>
      <c r="U484" s="7">
        <v>0.22478562285737724</v>
      </c>
    </row>
    <row r="485" spans="19:21" x14ac:dyDescent="0.25">
      <c r="S485" s="11">
        <v>467</v>
      </c>
      <c r="T485" s="4">
        <v>96.673134208059778</v>
      </c>
      <c r="U485" s="7">
        <v>-2.8508348828662711E-2</v>
      </c>
    </row>
    <row r="486" spans="19:21" x14ac:dyDescent="0.25">
      <c r="S486" s="11">
        <v>468</v>
      </c>
      <c r="T486" s="4">
        <v>88.17882278774006</v>
      </c>
      <c r="U486" s="7">
        <v>-0.11386973381830912</v>
      </c>
    </row>
    <row r="487" spans="19:21" x14ac:dyDescent="0.25">
      <c r="S487" s="11">
        <v>469</v>
      </c>
      <c r="T487" s="4">
        <v>150.96111913354724</v>
      </c>
      <c r="U487" s="7">
        <v>0.51704471041651323</v>
      </c>
    </row>
    <row r="488" spans="19:21" x14ac:dyDescent="0.25">
      <c r="S488" s="11">
        <v>470</v>
      </c>
      <c r="T488" s="4">
        <v>49.943922454974178</v>
      </c>
      <c r="U488" s="7">
        <v>-0.49810147266632321</v>
      </c>
    </row>
    <row r="489" spans="19:21" x14ac:dyDescent="0.25">
      <c r="S489" s="11">
        <v>471</v>
      </c>
      <c r="T489" s="4">
        <v>131.84458433096862</v>
      </c>
      <c r="U489" s="7">
        <v>0.32493803970423674</v>
      </c>
    </row>
    <row r="490" spans="19:21" x14ac:dyDescent="0.25">
      <c r="S490" s="11">
        <v>472</v>
      </c>
      <c r="T490" s="4">
        <v>206.09566191218747</v>
      </c>
      <c r="U490" s="7">
        <v>1.071105033787433</v>
      </c>
    </row>
    <row r="491" spans="19:21" x14ac:dyDescent="0.25">
      <c r="S491" s="11">
        <v>473</v>
      </c>
      <c r="T491" s="4">
        <v>140.85154719811325</v>
      </c>
      <c r="U491" s="7">
        <v>0.41545118277673843</v>
      </c>
    </row>
    <row r="492" spans="19:21" x14ac:dyDescent="0.25">
      <c r="S492" s="11">
        <v>474</v>
      </c>
      <c r="T492" s="4">
        <v>89.136410038563781</v>
      </c>
      <c r="U492" s="7">
        <v>-0.10424670848594331</v>
      </c>
    </row>
    <row r="493" spans="19:21" x14ac:dyDescent="0.25">
      <c r="S493" s="11">
        <v>475</v>
      </c>
      <c r="T493" s="4">
        <v>278.68972756350826</v>
      </c>
      <c r="U493" s="7">
        <v>1.800620315179462</v>
      </c>
    </row>
    <row r="494" spans="19:21" x14ac:dyDescent="0.25">
      <c r="S494" s="11">
        <v>476</v>
      </c>
      <c r="T494" s="4">
        <v>130.37348286808074</v>
      </c>
      <c r="U494" s="7">
        <v>0.31015458615295688</v>
      </c>
    </row>
    <row r="495" spans="19:21" x14ac:dyDescent="0.25">
      <c r="S495" s="11">
        <v>477</v>
      </c>
      <c r="T495" s="4">
        <v>130.09143441705615</v>
      </c>
      <c r="U495" s="7">
        <v>0.30732021321531655</v>
      </c>
    </row>
    <row r="496" spans="19:21" x14ac:dyDescent="0.25">
      <c r="S496" s="11">
        <v>478</v>
      </c>
      <c r="T496" s="4">
        <v>78.107325003937859</v>
      </c>
      <c r="U496" s="7">
        <v>-0.21508064512171787</v>
      </c>
    </row>
    <row r="497" spans="19:21" x14ac:dyDescent="0.25">
      <c r="S497" s="11">
        <v>479</v>
      </c>
      <c r="T497" s="4">
        <v>79.545459987291125</v>
      </c>
      <c r="U497" s="7">
        <v>-0.20062847967750863</v>
      </c>
    </row>
    <row r="498" spans="19:21" x14ac:dyDescent="0.25">
      <c r="S498" s="11">
        <v>480</v>
      </c>
      <c r="T498" s="4">
        <v>151.91483811764761</v>
      </c>
      <c r="U498" s="7">
        <v>0.52662886260323183</v>
      </c>
    </row>
    <row r="499" spans="19:21" x14ac:dyDescent="0.25">
      <c r="S499" s="11">
        <v>481</v>
      </c>
      <c r="T499" s="4">
        <v>70.2225664437304</v>
      </c>
      <c r="U499" s="7">
        <v>-0.29431648634579044</v>
      </c>
    </row>
    <row r="500" spans="19:21" x14ac:dyDescent="0.25">
      <c r="S500" s="11">
        <v>482</v>
      </c>
      <c r="T500" s="4">
        <v>176.63051458795056</v>
      </c>
      <c r="U500" s="7">
        <v>0.77500265890815534</v>
      </c>
    </row>
    <row r="501" spans="19:21" x14ac:dyDescent="0.25">
      <c r="S501" s="11">
        <v>483</v>
      </c>
      <c r="T501" s="4">
        <v>188.89194720391879</v>
      </c>
      <c r="U501" s="7">
        <v>0.8982207537324769</v>
      </c>
    </row>
    <row r="502" spans="19:21" x14ac:dyDescent="0.25">
      <c r="S502" s="11">
        <v>484</v>
      </c>
      <c r="T502" s="4">
        <v>130.90052986779111</v>
      </c>
      <c r="U502" s="7">
        <v>0.31545100862014963</v>
      </c>
    </row>
    <row r="503" spans="19:21" x14ac:dyDescent="0.25">
      <c r="S503" s="11">
        <v>485</v>
      </c>
      <c r="T503" s="4">
        <v>102.8734472994941</v>
      </c>
      <c r="U503" s="7">
        <v>3.3800093452859947E-2</v>
      </c>
    </row>
    <row r="504" spans="19:21" x14ac:dyDescent="0.25">
      <c r="S504" s="11">
        <v>486</v>
      </c>
      <c r="T504" s="4">
        <v>92.932916379131882</v>
      </c>
      <c r="U504" s="7">
        <v>-6.609470023985653E-2</v>
      </c>
    </row>
    <row r="505" spans="19:21" x14ac:dyDescent="0.25">
      <c r="S505" s="11">
        <v>487</v>
      </c>
      <c r="T505" s="4">
        <v>123.60718077891147</v>
      </c>
      <c r="U505" s="7">
        <v>0.24215838387007804</v>
      </c>
    </row>
    <row r="506" spans="19:21" x14ac:dyDescent="0.25">
      <c r="S506" s="11">
        <v>488</v>
      </c>
      <c r="T506" s="4">
        <v>195.47779437962188</v>
      </c>
      <c r="U506" s="7">
        <v>0.96440352104936067</v>
      </c>
    </row>
    <row r="507" spans="19:21" x14ac:dyDescent="0.25">
      <c r="S507" s="11">
        <v>489</v>
      </c>
      <c r="T507" s="4">
        <v>92.373558455037639</v>
      </c>
      <c r="U507" s="7">
        <v>-7.1715822982236666E-2</v>
      </c>
    </row>
    <row r="508" spans="19:21" x14ac:dyDescent="0.25">
      <c r="S508" s="11">
        <v>490</v>
      </c>
      <c r="T508" s="4">
        <v>113.50006198126606</v>
      </c>
      <c r="U508" s="7">
        <v>0.14058950840383933</v>
      </c>
    </row>
    <row r="509" spans="19:21" x14ac:dyDescent="0.25">
      <c r="S509" s="11">
        <v>491</v>
      </c>
      <c r="T509" s="4">
        <v>131.32317878418934</v>
      </c>
      <c r="U509" s="7">
        <v>0.31969830955873113</v>
      </c>
    </row>
    <row r="510" spans="19:21" x14ac:dyDescent="0.25">
      <c r="S510" s="11">
        <v>492</v>
      </c>
      <c r="T510" s="4">
        <v>175.89377094745663</v>
      </c>
      <c r="U510" s="7">
        <v>0.76759894430164421</v>
      </c>
    </row>
    <row r="511" spans="19:21" x14ac:dyDescent="0.25">
      <c r="S511" s="11">
        <v>493</v>
      </c>
      <c r="T511" s="4">
        <v>128.29058902006452</v>
      </c>
      <c r="U511" s="7">
        <v>0.28922308330885849</v>
      </c>
    </row>
    <row r="512" spans="19:21" x14ac:dyDescent="0.25">
      <c r="S512" s="11">
        <v>494</v>
      </c>
      <c r="T512" s="4">
        <v>112.53414961054301</v>
      </c>
      <c r="U512" s="7">
        <v>0.13088282193290124</v>
      </c>
    </row>
    <row r="513" spans="19:21" x14ac:dyDescent="0.25">
      <c r="S513" s="11">
        <v>495</v>
      </c>
      <c r="T513" s="4">
        <v>68.218981507306992</v>
      </c>
      <c r="U513" s="7">
        <v>-0.31445099480145722</v>
      </c>
    </row>
    <row r="514" spans="19:21" x14ac:dyDescent="0.25">
      <c r="S514" s="11">
        <v>496</v>
      </c>
      <c r="T514" s="4">
        <v>104.4171938644273</v>
      </c>
      <c r="U514" s="7">
        <v>4.9313575162569512E-2</v>
      </c>
    </row>
    <row r="515" spans="19:21" x14ac:dyDescent="0.25">
      <c r="S515" s="11">
        <v>497</v>
      </c>
      <c r="T515" s="4">
        <v>158.69209270552022</v>
      </c>
      <c r="U515" s="7">
        <v>0.59473512918822435</v>
      </c>
    </row>
    <row r="516" spans="19:21" x14ac:dyDescent="0.25">
      <c r="S516" s="11">
        <v>498</v>
      </c>
      <c r="T516" s="4">
        <v>119.29961774663728</v>
      </c>
      <c r="U516" s="7">
        <v>0.19887064362011131</v>
      </c>
    </row>
    <row r="517" spans="19:21" x14ac:dyDescent="0.25">
      <c r="S517" s="11">
        <v>499</v>
      </c>
      <c r="T517" s="4">
        <v>70.900087501797728</v>
      </c>
      <c r="U517" s="7">
        <v>-0.28750791375944407</v>
      </c>
    </row>
    <row r="518" spans="19:21" x14ac:dyDescent="0.25">
      <c r="S518" s="11">
        <v>500</v>
      </c>
      <c r="T518" s="4">
        <v>103.96853788183607</v>
      </c>
      <c r="U518" s="7">
        <v>4.480492294077032E-2</v>
      </c>
    </row>
    <row r="519" spans="19:21" x14ac:dyDescent="0.25">
      <c r="S519" s="11">
        <v>501</v>
      </c>
      <c r="T519" s="4">
        <v>155.09742242830924</v>
      </c>
      <c r="U519" s="7">
        <v>0.55861142024227961</v>
      </c>
    </row>
    <row r="520" spans="19:21" x14ac:dyDescent="0.25">
      <c r="S520" s="11">
        <v>502</v>
      </c>
      <c r="T520" s="4">
        <v>98.448285814144199</v>
      </c>
      <c r="U520" s="7">
        <v>-1.0669422026487796E-2</v>
      </c>
    </row>
    <row r="521" spans="19:21" x14ac:dyDescent="0.25">
      <c r="S521" s="11">
        <v>503</v>
      </c>
      <c r="T521" s="4">
        <v>121.90079264785739</v>
      </c>
      <c r="U521" s="7">
        <v>0.22501047781989136</v>
      </c>
    </row>
    <row r="522" spans="19:21" x14ac:dyDescent="0.25">
      <c r="S522" s="11">
        <v>504</v>
      </c>
      <c r="T522" s="4">
        <v>126.54307223791572</v>
      </c>
      <c r="U522" s="7">
        <v>0.2716618655202061</v>
      </c>
    </row>
    <row r="523" spans="19:21" x14ac:dyDescent="0.25">
      <c r="S523" s="11">
        <v>505</v>
      </c>
      <c r="T523" s="4">
        <v>90.883340927877981</v>
      </c>
      <c r="U523" s="7">
        <v>-8.6691378475751368E-2</v>
      </c>
    </row>
    <row r="524" spans="19:21" x14ac:dyDescent="0.25">
      <c r="S524" s="11">
        <v>506</v>
      </c>
      <c r="T524" s="4">
        <v>95.503909199627387</v>
      </c>
      <c r="U524" s="7">
        <v>-4.0258173051679447E-2</v>
      </c>
    </row>
    <row r="525" spans="19:21" x14ac:dyDescent="0.25">
      <c r="S525" s="11">
        <v>507</v>
      </c>
      <c r="T525" s="4">
        <v>167.04293429462533</v>
      </c>
      <c r="U525" s="7">
        <v>0.67865475122726671</v>
      </c>
    </row>
    <row r="526" spans="19:21" x14ac:dyDescent="0.25">
      <c r="S526" s="11">
        <v>508</v>
      </c>
      <c r="T526" s="4">
        <v>146.54529602035527</v>
      </c>
      <c r="U526" s="7">
        <v>0.47266903849216413</v>
      </c>
    </row>
    <row r="527" spans="19:21" x14ac:dyDescent="0.25">
      <c r="S527" s="11">
        <v>509</v>
      </c>
      <c r="T527" s="4">
        <v>129.19280025271593</v>
      </c>
      <c r="U527" s="7">
        <v>0.2982896216733586</v>
      </c>
    </row>
    <row r="528" spans="19:21" x14ac:dyDescent="0.25">
      <c r="S528" s="11">
        <v>510</v>
      </c>
      <c r="T528" s="4">
        <v>229.69489649498991</v>
      </c>
      <c r="U528" s="7">
        <v>1.3082594361872162</v>
      </c>
    </row>
    <row r="529" spans="19:21" x14ac:dyDescent="0.25">
      <c r="S529" s="11">
        <v>511</v>
      </c>
      <c r="T529" s="4">
        <v>147.34866784286945</v>
      </c>
      <c r="U529" s="7">
        <v>0.48074231577599669</v>
      </c>
    </row>
    <row r="530" spans="19:21" x14ac:dyDescent="0.25">
      <c r="S530" s="11">
        <v>512</v>
      </c>
      <c r="T530" s="4">
        <v>259.15357452174425</v>
      </c>
      <c r="U530" s="7">
        <v>1.6042967995351645</v>
      </c>
    </row>
    <row r="531" spans="19:21" x14ac:dyDescent="0.25">
      <c r="S531" s="11">
        <v>513</v>
      </c>
      <c r="T531" s="4">
        <v>238.01662557289896</v>
      </c>
      <c r="U531" s="7">
        <v>1.3918864995769162</v>
      </c>
    </row>
    <row r="532" spans="19:21" x14ac:dyDescent="0.25">
      <c r="S532" s="11">
        <v>514</v>
      </c>
      <c r="T532" s="4">
        <v>155.71360519266199</v>
      </c>
      <c r="U532" s="7">
        <v>0.56480358951524456</v>
      </c>
    </row>
    <row r="533" spans="19:21" x14ac:dyDescent="0.25">
      <c r="S533" s="11">
        <v>515</v>
      </c>
      <c r="T533" s="4">
        <v>93.939079053058904</v>
      </c>
      <c r="U533" s="7">
        <v>-5.5983528760336632E-2</v>
      </c>
    </row>
    <row r="534" spans="19:21" x14ac:dyDescent="0.25">
      <c r="S534" s="11">
        <v>516</v>
      </c>
      <c r="T534" s="4">
        <v>178.6186383954375</v>
      </c>
      <c r="U534" s="7">
        <v>0.79498179474864328</v>
      </c>
    </row>
    <row r="535" spans="19:21" x14ac:dyDescent="0.25">
      <c r="S535" s="11">
        <v>517</v>
      </c>
      <c r="T535" s="4">
        <v>129.20472889438065</v>
      </c>
      <c r="U535" s="7">
        <v>0.29840949547161744</v>
      </c>
    </row>
    <row r="536" spans="19:21" x14ac:dyDescent="0.25">
      <c r="S536" s="11">
        <v>518</v>
      </c>
      <c r="T536" s="4">
        <v>52.349454905577922</v>
      </c>
      <c r="U536" s="7">
        <v>-0.47392769665784429</v>
      </c>
    </row>
    <row r="537" spans="19:21" x14ac:dyDescent="0.25">
      <c r="S537" s="11">
        <v>519</v>
      </c>
      <c r="T537" s="4">
        <v>76.28360641645007</v>
      </c>
      <c r="U537" s="7">
        <v>-0.23340763323836733</v>
      </c>
    </row>
    <row r="538" spans="19:21" x14ac:dyDescent="0.25">
      <c r="S538" s="11">
        <v>520</v>
      </c>
      <c r="T538" s="4">
        <v>94.964453247560499</v>
      </c>
      <c r="U538" s="7">
        <v>-4.5679296075163411E-2</v>
      </c>
    </row>
    <row r="539" spans="19:21" x14ac:dyDescent="0.25">
      <c r="S539" s="11">
        <v>521</v>
      </c>
      <c r="T539" s="4">
        <v>159.75247308065255</v>
      </c>
      <c r="U539" s="7">
        <v>0.60539114742892708</v>
      </c>
    </row>
    <row r="540" spans="19:21" x14ac:dyDescent="0.25">
      <c r="S540" s="11">
        <v>522</v>
      </c>
      <c r="T540" s="4">
        <v>113.67865439038376</v>
      </c>
      <c r="U540" s="7">
        <v>0.14238422661424721</v>
      </c>
    </row>
    <row r="541" spans="19:21" x14ac:dyDescent="0.25">
      <c r="S541" s="11">
        <v>523</v>
      </c>
      <c r="T541" s="4">
        <v>123.41557644392334</v>
      </c>
      <c r="U541" s="7">
        <v>0.24023290567705091</v>
      </c>
    </row>
    <row r="542" spans="19:21" x14ac:dyDescent="0.25">
      <c r="S542" s="11">
        <v>524</v>
      </c>
      <c r="T542" s="4">
        <v>107.46945543174498</v>
      </c>
      <c r="U542" s="7">
        <v>7.9986488109184739E-2</v>
      </c>
    </row>
    <row r="543" spans="19:21" x14ac:dyDescent="0.25">
      <c r="S543" s="11">
        <v>525</v>
      </c>
      <c r="T543" s="4">
        <v>102.43380961038432</v>
      </c>
      <c r="U543" s="7">
        <v>2.9382068238210435E-2</v>
      </c>
    </row>
    <row r="544" spans="19:21" x14ac:dyDescent="0.25">
      <c r="S544" s="11">
        <v>526</v>
      </c>
      <c r="T544" s="4">
        <v>94.930349972447587</v>
      </c>
      <c r="U544" s="7">
        <v>-4.6022008115289115E-2</v>
      </c>
    </row>
    <row r="545" spans="19:21" x14ac:dyDescent="0.25">
      <c r="S545" s="11">
        <v>527</v>
      </c>
      <c r="T545" s="4">
        <v>111.66412103048185</v>
      </c>
      <c r="U545" s="7">
        <v>0.12213969480938447</v>
      </c>
    </row>
    <row r="546" spans="19:21" x14ac:dyDescent="0.25">
      <c r="S546" s="11">
        <v>528</v>
      </c>
      <c r="T546" s="4">
        <v>212.52353687697703</v>
      </c>
      <c r="U546" s="7">
        <v>1.1357003002409507</v>
      </c>
    </row>
    <row r="547" spans="19:21" x14ac:dyDescent="0.25">
      <c r="S547" s="11">
        <v>529</v>
      </c>
      <c r="T547" s="4">
        <v>141.61902440790666</v>
      </c>
      <c r="U547" s="7">
        <v>0.42316374643660604</v>
      </c>
    </row>
    <row r="548" spans="19:21" x14ac:dyDescent="0.25">
      <c r="S548" s="11">
        <v>530</v>
      </c>
      <c r="T548" s="4">
        <v>140.11650885105269</v>
      </c>
      <c r="U548" s="7">
        <v>0.40806460507539621</v>
      </c>
    </row>
    <row r="549" spans="19:21" x14ac:dyDescent="0.25">
      <c r="S549" s="11">
        <v>531</v>
      </c>
      <c r="T549" s="4">
        <v>133.01464223222379</v>
      </c>
      <c r="U549" s="7">
        <v>0.33669623386819203</v>
      </c>
    </row>
    <row r="550" spans="19:21" x14ac:dyDescent="0.25">
      <c r="S550" s="11">
        <v>532</v>
      </c>
      <c r="T550" s="4">
        <v>108.77868735540308</v>
      </c>
      <c r="U550" s="7">
        <v>9.3143275604492759E-2</v>
      </c>
    </row>
    <row r="551" spans="19:21" x14ac:dyDescent="0.25">
      <c r="S551" s="11">
        <v>533</v>
      </c>
      <c r="T551" s="4">
        <v>106.05716457368909</v>
      </c>
      <c r="U551" s="7">
        <v>6.5794036515818277E-2</v>
      </c>
    </row>
    <row r="552" spans="19:21" x14ac:dyDescent="0.25">
      <c r="S552" s="11">
        <v>534</v>
      </c>
      <c r="T552" s="4">
        <v>118.07207840208397</v>
      </c>
      <c r="U552" s="7">
        <v>0.18653480456319937</v>
      </c>
    </row>
    <row r="553" spans="19:21" x14ac:dyDescent="0.25">
      <c r="S553" s="11">
        <v>535</v>
      </c>
      <c r="T553" s="4">
        <v>110.92245238373359</v>
      </c>
      <c r="U553" s="7">
        <v>0.11468648762670663</v>
      </c>
    </row>
    <row r="554" spans="19:21" x14ac:dyDescent="0.25">
      <c r="S554" s="11">
        <v>536</v>
      </c>
      <c r="T554" s="4">
        <v>132.48456617801497</v>
      </c>
      <c r="U554" s="7">
        <v>0.33136937170148695</v>
      </c>
    </row>
    <row r="555" spans="19:21" x14ac:dyDescent="0.25">
      <c r="S555" s="11">
        <v>537</v>
      </c>
      <c r="T555" s="4">
        <v>125.58540373341543</v>
      </c>
      <c r="U555" s="7">
        <v>0.26203802365003948</v>
      </c>
    </row>
    <row r="556" spans="19:21" x14ac:dyDescent="0.25">
      <c r="S556" s="11">
        <v>538</v>
      </c>
      <c r="T556" s="4">
        <v>172.26603102913566</v>
      </c>
      <c r="U556" s="7">
        <v>0.73114291055306646</v>
      </c>
    </row>
    <row r="557" spans="19:21" x14ac:dyDescent="0.25">
      <c r="S557" s="11">
        <v>539</v>
      </c>
      <c r="T557" s="4">
        <v>70.776770338506182</v>
      </c>
      <c r="U557" s="7">
        <v>-0.2887471576876075</v>
      </c>
    </row>
    <row r="558" spans="19:21" x14ac:dyDescent="0.25">
      <c r="S558" s="11">
        <v>540</v>
      </c>
      <c r="T558" s="4">
        <v>122.07261881653473</v>
      </c>
      <c r="U558" s="7">
        <v>0.22673720044754009</v>
      </c>
    </row>
    <row r="559" spans="19:21" x14ac:dyDescent="0.25">
      <c r="S559" s="11">
        <v>541</v>
      </c>
      <c r="T559" s="4">
        <v>97.540718835586986</v>
      </c>
      <c r="U559" s="7">
        <v>-1.9789781573842036E-2</v>
      </c>
    </row>
    <row r="560" spans="19:21" x14ac:dyDescent="0.25">
      <c r="S560" s="11">
        <v>542</v>
      </c>
      <c r="T560" s="4">
        <v>164.29571099125903</v>
      </c>
      <c r="U560" s="7">
        <v>0.6510472413954278</v>
      </c>
    </row>
    <row r="561" spans="19:21" x14ac:dyDescent="0.25">
      <c r="S561" s="11">
        <v>543</v>
      </c>
      <c r="T561" s="4">
        <v>84.370762087031366</v>
      </c>
      <c r="U561" s="7">
        <v>-0.15213785461731122</v>
      </c>
    </row>
    <row r="562" spans="19:21" x14ac:dyDescent="0.25">
      <c r="S562" s="11">
        <v>544</v>
      </c>
      <c r="T562" s="4">
        <v>163.18745541149096</v>
      </c>
      <c r="U562" s="7">
        <v>0.63991011367190187</v>
      </c>
    </row>
    <row r="563" spans="19:21" x14ac:dyDescent="0.25">
      <c r="S563" s="11">
        <v>545</v>
      </c>
      <c r="T563" s="4">
        <v>117.1142309705502</v>
      </c>
      <c r="U563" s="7">
        <v>0.17690916461210127</v>
      </c>
    </row>
    <row r="564" spans="19:21" x14ac:dyDescent="0.25">
      <c r="S564" s="11">
        <v>546</v>
      </c>
      <c r="T564" s="4">
        <v>120.25654457916215</v>
      </c>
      <c r="U564" s="7">
        <v>0.20848703224964482</v>
      </c>
    </row>
    <row r="565" spans="19:21" x14ac:dyDescent="0.25">
      <c r="S565" s="11">
        <v>547</v>
      </c>
      <c r="T565" s="4">
        <v>101.39726068586411</v>
      </c>
      <c r="U565" s="7">
        <v>1.8965537994815707E-2</v>
      </c>
    </row>
    <row r="566" spans="19:21" x14ac:dyDescent="0.25">
      <c r="S566" s="11">
        <v>548</v>
      </c>
      <c r="T566" s="4">
        <v>100.0373535670317</v>
      </c>
      <c r="U566" s="7">
        <v>5.29950323617423E-3</v>
      </c>
    </row>
    <row r="567" spans="19:21" x14ac:dyDescent="0.25">
      <c r="S567" s="11">
        <v>549</v>
      </c>
      <c r="T567" s="4">
        <v>127.0255561993941</v>
      </c>
      <c r="U567" s="7">
        <v>0.27651046326393414</v>
      </c>
    </row>
    <row r="568" spans="19:21" x14ac:dyDescent="0.25">
      <c r="S568" s="11">
        <v>550</v>
      </c>
      <c r="T568" s="4">
        <v>160.71100099918857</v>
      </c>
      <c r="U568" s="7">
        <v>0.61502362575810032</v>
      </c>
    </row>
    <row r="569" spans="19:21" x14ac:dyDescent="0.25">
      <c r="S569" s="11">
        <v>551</v>
      </c>
      <c r="T569" s="4">
        <v>93.02885040037377</v>
      </c>
      <c r="U569" s="7">
        <v>-6.5130636113217122E-2</v>
      </c>
    </row>
    <row r="570" spans="19:21" x14ac:dyDescent="0.25">
      <c r="S570" s="11">
        <v>552</v>
      </c>
      <c r="T570" s="4">
        <v>113.44542585106264</v>
      </c>
      <c r="U570" s="7">
        <v>0.14004045674869503</v>
      </c>
    </row>
    <row r="571" spans="19:21" x14ac:dyDescent="0.25">
      <c r="S571" s="11">
        <v>553</v>
      </c>
      <c r="T571" s="4">
        <v>276.77113736685459</v>
      </c>
      <c r="U571" s="7">
        <v>1.781339939371466</v>
      </c>
    </row>
    <row r="572" spans="19:21" x14ac:dyDescent="0.25">
      <c r="S572" s="11">
        <v>554</v>
      </c>
      <c r="T572" s="4">
        <v>108.25048492948019</v>
      </c>
      <c r="U572" s="7">
        <v>8.7835241980506407E-2</v>
      </c>
    </row>
    <row r="573" spans="19:21" x14ac:dyDescent="0.25">
      <c r="S573" s="11">
        <v>555</v>
      </c>
      <c r="T573" s="4">
        <v>68.292205221905988</v>
      </c>
      <c r="U573" s="7">
        <v>-0.31371515202586686</v>
      </c>
    </row>
    <row r="574" spans="19:21" x14ac:dyDescent="0.25">
      <c r="S574" s="11">
        <v>556</v>
      </c>
      <c r="T574" s="4">
        <v>122.47495106558316</v>
      </c>
      <c r="U574" s="7">
        <v>0.23078033429387146</v>
      </c>
    </row>
    <row r="575" spans="19:21" x14ac:dyDescent="0.25">
      <c r="S575" s="11">
        <v>557</v>
      </c>
      <c r="T575" s="4">
        <v>77.070995179561919</v>
      </c>
      <c r="U575" s="7">
        <v>-0.22549497357489789</v>
      </c>
    </row>
    <row r="576" spans="19:21" x14ac:dyDescent="0.25">
      <c r="S576" s="11">
        <v>558</v>
      </c>
      <c r="T576" s="4">
        <v>106.42080346689424</v>
      </c>
      <c r="U576" s="7">
        <v>6.9448331493259241E-2</v>
      </c>
    </row>
    <row r="577" spans="19:21" x14ac:dyDescent="0.25">
      <c r="S577" s="11">
        <v>559</v>
      </c>
      <c r="T577" s="4">
        <v>101.04446302670922</v>
      </c>
      <c r="U577" s="7">
        <v>1.5420189194143452E-2</v>
      </c>
    </row>
    <row r="578" spans="19:21" x14ac:dyDescent="0.25">
      <c r="S578" s="11">
        <v>560</v>
      </c>
      <c r="T578" s="4">
        <v>199.72542436036605</v>
      </c>
      <c r="U578" s="7">
        <v>1.0070889796037186</v>
      </c>
    </row>
    <row r="579" spans="19:21" x14ac:dyDescent="0.25">
      <c r="S579" s="11">
        <v>561</v>
      </c>
      <c r="T579" s="4">
        <v>100.99278518403119</v>
      </c>
      <c r="U579" s="7">
        <v>1.4900866084124109E-2</v>
      </c>
    </row>
    <row r="580" spans="19:21" x14ac:dyDescent="0.25">
      <c r="S580" s="11">
        <v>562</v>
      </c>
      <c r="T580" s="4">
        <v>88.356839180670306</v>
      </c>
      <c r="U580" s="7">
        <v>-0.11208080413355137</v>
      </c>
    </row>
    <row r="581" spans="19:21" x14ac:dyDescent="0.25">
      <c r="S581" s="11">
        <v>563</v>
      </c>
      <c r="T581" s="4">
        <v>103.30606127136656</v>
      </c>
      <c r="U581" s="7">
        <v>3.8147535638293206E-2</v>
      </c>
    </row>
    <row r="582" spans="19:21" x14ac:dyDescent="0.25">
      <c r="S582" s="11">
        <v>564</v>
      </c>
      <c r="T582" s="4">
        <v>138.63380128523141</v>
      </c>
      <c r="U582" s="7">
        <v>0.3931645189953914</v>
      </c>
    </row>
    <row r="583" spans="19:21" x14ac:dyDescent="0.25">
      <c r="S583" s="11">
        <v>565</v>
      </c>
      <c r="T583" s="4">
        <v>170.91492634866415</v>
      </c>
      <c r="U583" s="7">
        <v>0.7175653336213863</v>
      </c>
    </row>
    <row r="584" spans="19:21" x14ac:dyDescent="0.25">
      <c r="S584" s="11">
        <v>566</v>
      </c>
      <c r="T584" s="4">
        <v>112.14733725432936</v>
      </c>
      <c r="U584" s="7">
        <v>0.12699565123434176</v>
      </c>
    </row>
    <row r="585" spans="19:21" x14ac:dyDescent="0.25">
      <c r="S585" s="11">
        <v>567</v>
      </c>
      <c r="T585" s="4">
        <v>100.20948908598707</v>
      </c>
      <c r="U585" s="7">
        <v>7.0293345994076883E-3</v>
      </c>
    </row>
    <row r="586" spans="19:21" x14ac:dyDescent="0.25">
      <c r="S586" s="11">
        <v>568</v>
      </c>
      <c r="T586" s="4">
        <v>89.342847189850986</v>
      </c>
      <c r="U586" s="7">
        <v>-0.10217217174303106</v>
      </c>
    </row>
    <row r="587" spans="19:21" x14ac:dyDescent="0.25">
      <c r="S587" s="11">
        <v>569</v>
      </c>
      <c r="T587" s="4">
        <v>107.25527832745125</v>
      </c>
      <c r="U587" s="7">
        <v>7.7834170710996409E-2</v>
      </c>
    </row>
    <row r="588" spans="19:21" x14ac:dyDescent="0.25">
      <c r="S588" s="11">
        <v>570</v>
      </c>
      <c r="T588" s="4">
        <v>114.99811704373747</v>
      </c>
      <c r="U588" s="7">
        <v>0.15564382518076036</v>
      </c>
    </row>
    <row r="589" spans="19:21" x14ac:dyDescent="0.25">
      <c r="S589" s="11">
        <v>571</v>
      </c>
      <c r="T589" s="4">
        <v>99.88476026776496</v>
      </c>
      <c r="U589" s="7">
        <v>3.7660563537831315E-3</v>
      </c>
    </row>
    <row r="590" spans="19:21" x14ac:dyDescent="0.25">
      <c r="S590" s="11">
        <v>572</v>
      </c>
      <c r="T590" s="4">
        <v>149.87036616852129</v>
      </c>
      <c r="U590" s="7">
        <v>0.50608347069160153</v>
      </c>
    </row>
    <row r="591" spans="19:21" x14ac:dyDescent="0.25">
      <c r="S591" s="11">
        <v>573</v>
      </c>
      <c r="T591" s="4">
        <v>127.86377609946548</v>
      </c>
      <c r="U591" s="7">
        <v>0.28493393728736294</v>
      </c>
    </row>
    <row r="592" spans="19:21" x14ac:dyDescent="0.25">
      <c r="S592" s="11">
        <v>574</v>
      </c>
      <c r="T592" s="4">
        <v>138.85392400786461</v>
      </c>
      <c r="U592" s="7">
        <v>0.39537658534684561</v>
      </c>
    </row>
    <row r="593" spans="19:21" x14ac:dyDescent="0.25">
      <c r="S593" s="11">
        <v>575</v>
      </c>
      <c r="T593" s="4">
        <v>137.09013651866627</v>
      </c>
      <c r="U593" s="7">
        <v>0.37765185929721889</v>
      </c>
    </row>
    <row r="594" spans="19:21" x14ac:dyDescent="0.25">
      <c r="S594" s="11">
        <v>576</v>
      </c>
      <c r="T594" s="4">
        <v>85.99670519062272</v>
      </c>
      <c r="U594" s="7">
        <v>-0.13579836005805734</v>
      </c>
    </row>
    <row r="595" spans="19:21" x14ac:dyDescent="0.25">
      <c r="S595" s="11">
        <v>577</v>
      </c>
      <c r="T595" s="4">
        <v>97.056732332672382</v>
      </c>
      <c r="U595" s="7">
        <v>-2.4653478718999366E-2</v>
      </c>
    </row>
    <row r="596" spans="19:21" x14ac:dyDescent="0.25">
      <c r="S596" s="11">
        <v>578</v>
      </c>
      <c r="T596" s="4">
        <v>148.06042707151343</v>
      </c>
      <c r="U596" s="7">
        <v>0.48789495599953203</v>
      </c>
    </row>
    <row r="597" spans="19:21" x14ac:dyDescent="0.25">
      <c r="S597" s="11">
        <v>579</v>
      </c>
      <c r="T597" s="4">
        <v>139.40618543801233</v>
      </c>
      <c r="U597" s="7">
        <v>0.40092639370929883</v>
      </c>
    </row>
    <row r="598" spans="19:21" x14ac:dyDescent="0.25">
      <c r="S598" s="11">
        <v>580</v>
      </c>
      <c r="T598" s="4">
        <v>110.99281774507813</v>
      </c>
      <c r="U598" s="7">
        <v>0.11539360612077298</v>
      </c>
    </row>
    <row r="599" spans="19:21" x14ac:dyDescent="0.25">
      <c r="S599" s="11">
        <v>581</v>
      </c>
      <c r="T599" s="4">
        <v>133.79930927376722</v>
      </c>
      <c r="U599" s="7">
        <v>0.34458154229491722</v>
      </c>
    </row>
    <row r="600" spans="19:21" x14ac:dyDescent="0.25">
      <c r="S600" s="11">
        <v>582</v>
      </c>
      <c r="T600" s="4">
        <v>86.830073837809323</v>
      </c>
      <c r="U600" s="7">
        <v>-0.1274236374453892</v>
      </c>
    </row>
    <row r="601" spans="19:21" x14ac:dyDescent="0.25">
      <c r="S601" s="11">
        <v>583</v>
      </c>
      <c r="T601" s="4">
        <v>77.887851615508609</v>
      </c>
      <c r="U601" s="7">
        <v>-0.21728618615708362</v>
      </c>
    </row>
    <row r="602" spans="19:21" x14ac:dyDescent="0.25">
      <c r="S602" s="11">
        <v>584</v>
      </c>
      <c r="T602" s="4">
        <v>108.48353177471411</v>
      </c>
      <c r="U602" s="7">
        <v>9.0177185958336903E-2</v>
      </c>
    </row>
    <row r="603" spans="19:21" x14ac:dyDescent="0.25">
      <c r="S603" s="11">
        <v>585</v>
      </c>
      <c r="T603" s="4">
        <v>125.51474031858213</v>
      </c>
      <c r="U603" s="7">
        <v>0.26132790994454957</v>
      </c>
    </row>
    <row r="604" spans="19:21" x14ac:dyDescent="0.25">
      <c r="S604" s="11">
        <v>586</v>
      </c>
      <c r="T604" s="4">
        <v>234.38332001614461</v>
      </c>
      <c r="U604" s="7">
        <v>1.3553745353848314</v>
      </c>
    </row>
    <row r="605" spans="19:21" x14ac:dyDescent="0.25">
      <c r="S605" s="11">
        <v>587</v>
      </c>
      <c r="T605" s="4">
        <v>113.03470412616399</v>
      </c>
      <c r="U605" s="7">
        <v>0.13591301503531295</v>
      </c>
    </row>
    <row r="606" spans="19:21" x14ac:dyDescent="0.25">
      <c r="S606" s="11">
        <v>588</v>
      </c>
      <c r="T606" s="4">
        <v>166.42629594179121</v>
      </c>
      <c r="U606" s="7">
        <v>0.67245800363572705</v>
      </c>
    </row>
    <row r="607" spans="19:21" x14ac:dyDescent="0.25">
      <c r="S607" s="11">
        <v>589</v>
      </c>
      <c r="T607" s="4">
        <v>149.51528442972477</v>
      </c>
      <c r="U607" s="7">
        <v>0.50251516862350276</v>
      </c>
    </row>
    <row r="608" spans="19:21" x14ac:dyDescent="0.25">
      <c r="S608" s="11">
        <v>590</v>
      </c>
      <c r="T608" s="4">
        <v>122.50315240142969</v>
      </c>
      <c r="U608" s="7">
        <v>0.23106373632227606</v>
      </c>
    </row>
    <row r="609" spans="19:21" x14ac:dyDescent="0.25">
      <c r="S609" s="11">
        <v>591</v>
      </c>
      <c r="T609" s="4">
        <v>190.65165369945706</v>
      </c>
      <c r="U609" s="7">
        <v>0.91590446889214205</v>
      </c>
    </row>
    <row r="610" spans="19:21" x14ac:dyDescent="0.25">
      <c r="S610" s="11">
        <v>592</v>
      </c>
      <c r="T610" s="4">
        <v>117.49057782399264</v>
      </c>
      <c r="U610" s="7">
        <v>0.18069116494817239</v>
      </c>
    </row>
    <row r="611" spans="19:21" x14ac:dyDescent="0.25">
      <c r="S611" s="11">
        <v>593</v>
      </c>
      <c r="T611" s="4">
        <v>125.28077026666173</v>
      </c>
      <c r="U611" s="7">
        <v>0.25897668843997312</v>
      </c>
    </row>
    <row r="612" spans="19:21" x14ac:dyDescent="0.25">
      <c r="S612" s="11">
        <v>594</v>
      </c>
      <c r="T612" s="4">
        <v>181.02549502294369</v>
      </c>
      <c r="U612" s="7">
        <v>0.81916887773031521</v>
      </c>
    </row>
    <row r="613" spans="19:21" x14ac:dyDescent="0.25">
      <c r="S613" s="11">
        <v>595</v>
      </c>
      <c r="T613" s="4">
        <v>128.63746603959916</v>
      </c>
      <c r="U613" s="7">
        <v>0.29270893417344146</v>
      </c>
    </row>
    <row r="614" spans="19:21" x14ac:dyDescent="0.25">
      <c r="S614" s="11">
        <v>596</v>
      </c>
      <c r="T614" s="4">
        <v>112.99833058068451</v>
      </c>
      <c r="U614" s="7">
        <v>0.13554748850049747</v>
      </c>
    </row>
    <row r="615" spans="19:21" x14ac:dyDescent="0.25">
      <c r="S615" s="11">
        <v>597</v>
      </c>
      <c r="T615" s="4">
        <v>102.51541170385518</v>
      </c>
      <c r="U615" s="7">
        <v>3.0202107364638575E-2</v>
      </c>
    </row>
    <row r="616" spans="19:21" x14ac:dyDescent="0.25">
      <c r="S616" s="11">
        <v>598</v>
      </c>
      <c r="T616" s="4">
        <v>96.678515655233454</v>
      </c>
      <c r="U616" s="7">
        <v>-2.8454269367566565E-2</v>
      </c>
    </row>
    <row r="617" spans="19:21" x14ac:dyDescent="0.25">
      <c r="S617" s="11">
        <v>599</v>
      </c>
      <c r="T617" s="4">
        <v>159.24435836466338</v>
      </c>
      <c r="U617" s="7">
        <v>0.60028498004887321</v>
      </c>
    </row>
    <row r="618" spans="19:21" x14ac:dyDescent="0.25">
      <c r="S618" s="11">
        <v>600</v>
      </c>
      <c r="T618" s="4">
        <v>184.71352761664593</v>
      </c>
      <c r="U618" s="7">
        <v>0.8562308071213538</v>
      </c>
    </row>
    <row r="619" spans="19:21" x14ac:dyDescent="0.25">
      <c r="S619" s="11">
        <v>601</v>
      </c>
      <c r="T619" s="4">
        <v>136.28090215126335</v>
      </c>
      <c r="U619" s="7">
        <v>0.36951966788527124</v>
      </c>
    </row>
    <row r="620" spans="19:21" x14ac:dyDescent="0.25">
      <c r="S620" s="11">
        <v>602</v>
      </c>
      <c r="T620" s="4">
        <v>102.15565116558346</v>
      </c>
      <c r="U620" s="7">
        <v>2.6586786911702021E-2</v>
      </c>
    </row>
    <row r="621" spans="19:21" x14ac:dyDescent="0.25">
      <c r="S621" s="11">
        <v>603</v>
      </c>
      <c r="T621" s="4">
        <v>83.370965636144959</v>
      </c>
      <c r="U621" s="7">
        <v>-0.16218505038543907</v>
      </c>
    </row>
    <row r="622" spans="19:21" x14ac:dyDescent="0.25">
      <c r="S622" s="11">
        <v>604</v>
      </c>
      <c r="T622" s="4">
        <v>166.38451731483218</v>
      </c>
      <c r="U622" s="7">
        <v>0.67203816013297324</v>
      </c>
    </row>
    <row r="623" spans="19:21" x14ac:dyDescent="0.25">
      <c r="S623" s="11">
        <v>605</v>
      </c>
      <c r="T623" s="4">
        <v>95.959862844051543</v>
      </c>
      <c r="U623" s="7">
        <v>-3.5676184865324756E-2</v>
      </c>
    </row>
    <row r="624" spans="19:21" x14ac:dyDescent="0.25">
      <c r="S624" s="11">
        <v>606</v>
      </c>
      <c r="T624" s="4">
        <v>124.00263012435524</v>
      </c>
      <c r="U624" s="7">
        <v>0.24613234975736331</v>
      </c>
    </row>
    <row r="625" spans="19:21" x14ac:dyDescent="0.25">
      <c r="S625" s="11">
        <v>607</v>
      </c>
      <c r="T625" s="4">
        <v>181.51199419220453</v>
      </c>
      <c r="U625" s="7">
        <v>0.82405782526584792</v>
      </c>
    </row>
    <row r="626" spans="19:21" x14ac:dyDescent="0.25">
      <c r="S626" s="11">
        <v>608</v>
      </c>
      <c r="T626" s="4">
        <v>136.26735852822245</v>
      </c>
      <c r="U626" s="7">
        <v>0.36938356474949696</v>
      </c>
    </row>
    <row r="627" spans="19:21" x14ac:dyDescent="0.25">
      <c r="S627" s="11">
        <v>609</v>
      </c>
      <c r="T627" s="4">
        <v>107.49053401041671</v>
      </c>
      <c r="U627" s="7">
        <v>8.0198311832144542E-2</v>
      </c>
    </row>
    <row r="628" spans="19:21" x14ac:dyDescent="0.25">
      <c r="S628" s="11">
        <v>610</v>
      </c>
      <c r="T628" s="4">
        <v>118.28744658847569</v>
      </c>
      <c r="U628" s="7">
        <v>0.18869909143277752</v>
      </c>
    </row>
    <row r="629" spans="19:21" x14ac:dyDescent="0.25">
      <c r="S629" s="11">
        <v>611</v>
      </c>
      <c r="T629" s="4">
        <v>144.2895638718941</v>
      </c>
      <c r="U629" s="7">
        <v>0.45000064186407496</v>
      </c>
    </row>
    <row r="630" spans="19:21" x14ac:dyDescent="0.25">
      <c r="S630" s="11">
        <v>612</v>
      </c>
      <c r="T630" s="4">
        <v>108.56710001397282</v>
      </c>
      <c r="U630" s="7">
        <v>9.1016983358183312E-2</v>
      </c>
    </row>
    <row r="631" spans="19:21" x14ac:dyDescent="0.25">
      <c r="S631" s="11">
        <v>613</v>
      </c>
      <c r="T631" s="4">
        <v>110.55585511838838</v>
      </c>
      <c r="U631" s="7">
        <v>0.11100246325382757</v>
      </c>
    </row>
    <row r="632" spans="19:21" x14ac:dyDescent="0.25">
      <c r="S632" s="11">
        <v>614</v>
      </c>
      <c r="T632" s="4">
        <v>139.01004858202191</v>
      </c>
      <c r="U632" s="7">
        <v>0.39694551886264606</v>
      </c>
    </row>
    <row r="633" spans="19:21" x14ac:dyDescent="0.25">
      <c r="S633" s="11">
        <v>615</v>
      </c>
      <c r="T633" s="4">
        <v>108.50487645688159</v>
      </c>
      <c r="U633" s="7">
        <v>9.0391683819531554E-2</v>
      </c>
    </row>
    <row r="634" spans="19:21" x14ac:dyDescent="0.25">
      <c r="S634" s="11">
        <v>616</v>
      </c>
      <c r="T634" s="4">
        <v>114.42163537507864</v>
      </c>
      <c r="U634" s="7">
        <v>0.14985062179759456</v>
      </c>
    </row>
    <row r="635" spans="19:21" x14ac:dyDescent="0.25">
      <c r="S635" s="11">
        <v>617</v>
      </c>
      <c r="T635" s="4">
        <v>69.464579868902504</v>
      </c>
      <c r="U635" s="7">
        <v>-0.30193367632496737</v>
      </c>
    </row>
    <row r="636" spans="19:21" x14ac:dyDescent="0.25">
      <c r="S636" s="11">
        <v>618</v>
      </c>
      <c r="T636" s="4">
        <v>154.38419142024733</v>
      </c>
      <c r="U636" s="7">
        <v>0.55144398975225939</v>
      </c>
    </row>
    <row r="637" spans="19:21" x14ac:dyDescent="0.25">
      <c r="S637" s="11">
        <v>619</v>
      </c>
      <c r="T637" s="4">
        <v>182.90236369284537</v>
      </c>
      <c r="U637" s="7">
        <v>0.83802998384931526</v>
      </c>
    </row>
    <row r="638" spans="19:21" x14ac:dyDescent="0.25">
      <c r="S638" s="11">
        <v>620</v>
      </c>
      <c r="T638" s="4">
        <v>192.34773053839268</v>
      </c>
      <c r="U638" s="7">
        <v>0.93294875427989821</v>
      </c>
    </row>
    <row r="639" spans="19:21" x14ac:dyDescent="0.25">
      <c r="S639" s="11">
        <v>621</v>
      </c>
      <c r="T639" s="4">
        <v>68.630625373904337</v>
      </c>
      <c r="U639" s="7">
        <v>-0.31031428626364854</v>
      </c>
    </row>
    <row r="640" spans="19:21" x14ac:dyDescent="0.25">
      <c r="S640" s="11">
        <v>622</v>
      </c>
      <c r="T640" s="4">
        <v>142.03410815189105</v>
      </c>
      <c r="U640" s="7">
        <v>0.42733502313225857</v>
      </c>
    </row>
    <row r="641" spans="19:21" x14ac:dyDescent="0.25">
      <c r="S641" s="11">
        <v>623</v>
      </c>
      <c r="T641" s="4">
        <v>132.28296054175127</v>
      </c>
      <c r="U641" s="7">
        <v>0.32934338801880481</v>
      </c>
    </row>
    <row r="642" spans="19:21" x14ac:dyDescent="0.25">
      <c r="S642" s="11">
        <v>624</v>
      </c>
      <c r="T642" s="4">
        <v>132.34650020954336</v>
      </c>
      <c r="U642" s="7">
        <v>0.32998191347144368</v>
      </c>
    </row>
    <row r="643" spans="19:21" x14ac:dyDescent="0.25">
      <c r="S643" s="11">
        <v>625</v>
      </c>
      <c r="T643" s="4">
        <v>122.63140079498925</v>
      </c>
      <c r="U643" s="7">
        <v>0.2323525353732212</v>
      </c>
    </row>
    <row r="644" spans="19:21" x14ac:dyDescent="0.25">
      <c r="S644" s="11">
        <v>626</v>
      </c>
      <c r="T644" s="4">
        <v>94.665833633090102</v>
      </c>
      <c r="U644" s="7">
        <v>-4.8680196632598816E-2</v>
      </c>
    </row>
    <row r="645" spans="19:21" x14ac:dyDescent="0.25">
      <c r="S645" s="11">
        <v>627</v>
      </c>
      <c r="T645" s="4">
        <v>153.54288287997059</v>
      </c>
      <c r="U645" s="7">
        <v>0.54298947723817292</v>
      </c>
    </row>
    <row r="646" spans="19:21" x14ac:dyDescent="0.25">
      <c r="S646" s="11">
        <v>628</v>
      </c>
      <c r="T646" s="4">
        <v>41.301301666987115</v>
      </c>
      <c r="U646" s="7">
        <v>-0.58495325427608169</v>
      </c>
    </row>
    <row r="647" spans="19:21" x14ac:dyDescent="0.25">
      <c r="S647" s="11">
        <v>629</v>
      </c>
      <c r="T647" s="4">
        <v>98.527055875628491</v>
      </c>
      <c r="U647" s="7">
        <v>-9.8778426728118873E-3</v>
      </c>
    </row>
    <row r="648" spans="19:21" x14ac:dyDescent="0.25">
      <c r="S648" s="11">
        <v>630</v>
      </c>
      <c r="T648" s="4">
        <v>84.359291495261388</v>
      </c>
      <c r="U648" s="7">
        <v>-0.15225312536165825</v>
      </c>
    </row>
    <row r="649" spans="19:21" x14ac:dyDescent="0.25">
      <c r="S649" s="11">
        <v>631</v>
      </c>
      <c r="T649" s="4">
        <v>122.65361350108265</v>
      </c>
      <c r="U649" s="7">
        <v>0.23257575621628623</v>
      </c>
    </row>
    <row r="650" spans="19:21" x14ac:dyDescent="0.25">
      <c r="S650" s="11">
        <v>632</v>
      </c>
      <c r="T650" s="4">
        <v>68.41521051239711</v>
      </c>
      <c r="U650" s="7">
        <v>-0.31247904218272426</v>
      </c>
    </row>
    <row r="651" spans="19:21" x14ac:dyDescent="0.25">
      <c r="S651" s="11">
        <v>633</v>
      </c>
      <c r="T651" s="4">
        <v>86.492690615308661</v>
      </c>
      <c r="U651" s="7">
        <v>-0.13081408285289264</v>
      </c>
    </row>
    <row r="652" spans="19:21" x14ac:dyDescent="0.25">
      <c r="S652" s="11">
        <v>634</v>
      </c>
      <c r="T652" s="4">
        <v>55.427667741436821</v>
      </c>
      <c r="U652" s="7">
        <v>-0.44299399315207699</v>
      </c>
    </row>
    <row r="653" spans="19:21" x14ac:dyDescent="0.25">
      <c r="S653" s="11">
        <v>635</v>
      </c>
      <c r="T653" s="4">
        <v>127.4144725390203</v>
      </c>
      <c r="U653" s="7">
        <v>0.2804187773994602</v>
      </c>
    </row>
    <row r="654" spans="19:21" x14ac:dyDescent="0.25">
      <c r="S654" s="11">
        <v>636</v>
      </c>
      <c r="T654" s="4">
        <v>129.84563998231047</v>
      </c>
      <c r="U654" s="7">
        <v>0.30485016563471468</v>
      </c>
    </row>
    <row r="655" spans="19:21" x14ac:dyDescent="0.25">
      <c r="S655" s="11">
        <v>637</v>
      </c>
      <c r="T655" s="4">
        <v>164.02904057978512</v>
      </c>
      <c r="U655" s="7">
        <v>0.64836740608768073</v>
      </c>
    </row>
    <row r="656" spans="19:21" x14ac:dyDescent="0.25">
      <c r="S656" s="11">
        <v>638</v>
      </c>
      <c r="T656" s="4">
        <v>87.687472057192295</v>
      </c>
      <c r="U656" s="7">
        <v>-0.11880743586380982</v>
      </c>
    </row>
    <row r="657" spans="19:21" x14ac:dyDescent="0.25">
      <c r="S657" s="11">
        <v>639</v>
      </c>
      <c r="T657" s="4">
        <v>77.777895029103377</v>
      </c>
      <c r="U657" s="7">
        <v>-0.21839116642444611</v>
      </c>
    </row>
    <row r="658" spans="19:21" x14ac:dyDescent="0.25">
      <c r="S658" s="11">
        <v>640</v>
      </c>
      <c r="T658" s="4">
        <v>154.4891886088086</v>
      </c>
      <c r="U658" s="7">
        <v>0.55249913183407284</v>
      </c>
    </row>
    <row r="659" spans="19:21" x14ac:dyDescent="0.25">
      <c r="S659" s="11">
        <v>641</v>
      </c>
      <c r="T659" s="4">
        <v>117.68771110167189</v>
      </c>
      <c r="U659" s="7">
        <v>0.18267220482033864</v>
      </c>
    </row>
    <row r="660" spans="19:21" x14ac:dyDescent="0.25">
      <c r="S660" s="11">
        <v>642</v>
      </c>
      <c r="T660" s="4">
        <v>124.98530046513486</v>
      </c>
      <c r="U660" s="7">
        <v>0.25600744111280127</v>
      </c>
    </row>
    <row r="661" spans="19:21" x14ac:dyDescent="0.25">
      <c r="S661" s="11">
        <v>643</v>
      </c>
      <c r="T661" s="4">
        <v>112.45009731295337</v>
      </c>
      <c r="U661" s="7">
        <v>0.13003816011409275</v>
      </c>
    </row>
    <row r="662" spans="19:21" x14ac:dyDescent="0.25">
      <c r="S662" s="11">
        <v>644</v>
      </c>
      <c r="T662" s="4">
        <v>126.38307475078065</v>
      </c>
      <c r="U662" s="7">
        <v>0.27005401216742686</v>
      </c>
    </row>
    <row r="663" spans="19:21" x14ac:dyDescent="0.25">
      <c r="S663" s="11">
        <v>645</v>
      </c>
      <c r="T663" s="4">
        <v>86.708793638719641</v>
      </c>
      <c r="U663" s="7">
        <v>-0.12864241142880473</v>
      </c>
    </row>
    <row r="664" spans="19:21" x14ac:dyDescent="0.25">
      <c r="S664" s="11">
        <v>646</v>
      </c>
      <c r="T664" s="4">
        <v>118.24127162941147</v>
      </c>
      <c r="U664" s="7">
        <v>0.18823506812794166</v>
      </c>
    </row>
    <row r="665" spans="19:21" x14ac:dyDescent="0.25">
      <c r="S665" s="11">
        <v>647</v>
      </c>
      <c r="T665" s="4">
        <v>126.19918211278211</v>
      </c>
      <c r="U665" s="7">
        <v>0.26820603067814397</v>
      </c>
    </row>
    <row r="666" spans="19:21" x14ac:dyDescent="0.25">
      <c r="S666" s="11">
        <v>648</v>
      </c>
      <c r="T666" s="4">
        <v>93.624316621144217</v>
      </c>
      <c r="U666" s="7">
        <v>-5.9146652385245524E-2</v>
      </c>
    </row>
    <row r="667" spans="19:21" x14ac:dyDescent="0.25">
      <c r="S667" s="11">
        <v>649</v>
      </c>
      <c r="T667" s="4">
        <v>193.55138750071723</v>
      </c>
      <c r="U667" s="7">
        <v>0.94504459351539771</v>
      </c>
    </row>
    <row r="668" spans="19:21" x14ac:dyDescent="0.25">
      <c r="S668" s="11">
        <v>650</v>
      </c>
      <c r="T668" s="4">
        <v>151.96042722360505</v>
      </c>
      <c r="U668" s="7">
        <v>0.52708699852884178</v>
      </c>
    </row>
    <row r="669" spans="19:21" x14ac:dyDescent="0.25">
      <c r="S669" s="11">
        <v>651</v>
      </c>
      <c r="T669" s="4">
        <v>173.95630749210039</v>
      </c>
      <c r="U669" s="7">
        <v>0.74812890656316333</v>
      </c>
    </row>
    <row r="670" spans="19:21" x14ac:dyDescent="0.25">
      <c r="S670" s="11">
        <v>652</v>
      </c>
      <c r="T670" s="4">
        <v>161.95986986606076</v>
      </c>
      <c r="U670" s="7">
        <v>0.6275738103312305</v>
      </c>
    </row>
    <row r="671" spans="19:21" x14ac:dyDescent="0.25">
      <c r="S671" s="11">
        <v>653</v>
      </c>
      <c r="T671" s="4">
        <v>120.54626899466194</v>
      </c>
      <c r="U671" s="7">
        <v>0.21139854280637049</v>
      </c>
    </row>
    <row r="672" spans="19:21" x14ac:dyDescent="0.25">
      <c r="S672" s="11">
        <v>654</v>
      </c>
      <c r="T672" s="4">
        <v>150.43681575131828</v>
      </c>
      <c r="U672" s="7">
        <v>0.51177585922337721</v>
      </c>
    </row>
    <row r="673" spans="19:21" x14ac:dyDescent="0.25">
      <c r="S673" s="11">
        <v>655</v>
      </c>
      <c r="T673" s="4">
        <v>186.72172040022369</v>
      </c>
      <c r="U673" s="7">
        <v>0.87641162094486669</v>
      </c>
    </row>
    <row r="674" spans="19:21" x14ac:dyDescent="0.25">
      <c r="S674" s="11">
        <v>656</v>
      </c>
      <c r="T674" s="4">
        <v>129.57517051640107</v>
      </c>
      <c r="U674" s="7">
        <v>0.30213215271230087</v>
      </c>
    </row>
    <row r="675" spans="19:21" x14ac:dyDescent="0.25">
      <c r="S675" s="11">
        <v>657</v>
      </c>
      <c r="T675" s="4">
        <v>89.122332612112487</v>
      </c>
      <c r="U675" s="7">
        <v>-0.10438817594098604</v>
      </c>
    </row>
    <row r="676" spans="19:21" x14ac:dyDescent="0.25">
      <c r="S676" s="11">
        <v>658</v>
      </c>
      <c r="T676" s="4">
        <v>137.56575391725531</v>
      </c>
      <c r="U676" s="7">
        <v>0.3824314532936921</v>
      </c>
    </row>
    <row r="677" spans="19:21" x14ac:dyDescent="0.25">
      <c r="S677" s="11">
        <v>659</v>
      </c>
      <c r="T677" s="4">
        <v>89.67688272749902</v>
      </c>
      <c r="U677" s="7">
        <v>-9.8815368028348782E-2</v>
      </c>
    </row>
    <row r="678" spans="19:21" x14ac:dyDescent="0.25">
      <c r="S678" s="11">
        <v>660</v>
      </c>
      <c r="T678" s="4">
        <v>137.28885876911659</v>
      </c>
      <c r="U678" s="7">
        <v>0.37964886714015256</v>
      </c>
    </row>
    <row r="679" spans="19:21" x14ac:dyDescent="0.25">
      <c r="S679" s="11">
        <v>661</v>
      </c>
      <c r="T679" s="4">
        <v>84.385167518237864</v>
      </c>
      <c r="U679" s="7">
        <v>-0.15199309096334179</v>
      </c>
    </row>
    <row r="680" spans="19:21" x14ac:dyDescent="0.25">
      <c r="S680" s="11">
        <v>662</v>
      </c>
      <c r="T680" s="4">
        <v>136.27413950116724</v>
      </c>
      <c r="U680" s="7">
        <v>0.36945170838274777</v>
      </c>
    </row>
    <row r="681" spans="19:21" x14ac:dyDescent="0.25">
      <c r="S681" s="11">
        <v>663</v>
      </c>
      <c r="T681" s="4">
        <v>128.32191348605119</v>
      </c>
      <c r="U681" s="7">
        <v>0.28953787042559731</v>
      </c>
    </row>
    <row r="682" spans="19:21" x14ac:dyDescent="0.25">
      <c r="S682" s="11">
        <v>664</v>
      </c>
      <c r="T682" s="4">
        <v>175.67415931860666</v>
      </c>
      <c r="U682" s="7">
        <v>0.76539201405493573</v>
      </c>
    </row>
    <row r="683" spans="19:21" x14ac:dyDescent="0.25">
      <c r="S683" s="11">
        <v>665</v>
      </c>
      <c r="T683" s="4">
        <v>152.01480268167381</v>
      </c>
      <c r="U683" s="7">
        <v>0.52763343062680934</v>
      </c>
    </row>
    <row r="684" spans="19:21" x14ac:dyDescent="0.25">
      <c r="S684" s="11">
        <v>666</v>
      </c>
      <c r="T684" s="4">
        <v>75.79099305947986</v>
      </c>
      <c r="U684" s="7">
        <v>-0.23835802372143644</v>
      </c>
    </row>
    <row r="685" spans="19:21" x14ac:dyDescent="0.25">
      <c r="S685" s="11">
        <v>667</v>
      </c>
      <c r="T685" s="4">
        <v>116.85455065759466</v>
      </c>
      <c r="U685" s="7">
        <v>0.17429957449095212</v>
      </c>
    </row>
    <row r="686" spans="19:21" x14ac:dyDescent="0.25">
      <c r="S686" s="11">
        <v>668</v>
      </c>
      <c r="T686" s="4">
        <v>198.28862289750919</v>
      </c>
      <c r="U686" s="7">
        <v>0.99265021502873263</v>
      </c>
    </row>
    <row r="687" spans="19:21" x14ac:dyDescent="0.25">
      <c r="S687" s="11">
        <v>669</v>
      </c>
      <c r="T687" s="4">
        <v>88.395211796748399</v>
      </c>
      <c r="U687" s="7">
        <v>-0.11169518845595017</v>
      </c>
    </row>
    <row r="688" spans="19:21" x14ac:dyDescent="0.25">
      <c r="S688" s="11">
        <v>670</v>
      </c>
      <c r="T688" s="4">
        <v>149.08674706948173</v>
      </c>
      <c r="U688" s="7">
        <v>0.49820869329194784</v>
      </c>
    </row>
    <row r="689" spans="19:21" x14ac:dyDescent="0.25">
      <c r="S689" s="11">
        <v>671</v>
      </c>
      <c r="T689" s="4">
        <v>230.03354481327528</v>
      </c>
      <c r="U689" s="7">
        <v>1.3116625948475056</v>
      </c>
    </row>
    <row r="690" spans="19:21" x14ac:dyDescent="0.25">
      <c r="S690" s="11">
        <v>672</v>
      </c>
      <c r="T690" s="4">
        <v>119.72129177797081</v>
      </c>
      <c r="U690" s="7">
        <v>0.20310814770345487</v>
      </c>
    </row>
    <row r="691" spans="19:21" x14ac:dyDescent="0.25">
      <c r="S691" s="11">
        <v>673</v>
      </c>
      <c r="T691" s="4">
        <v>169.15940832777804</v>
      </c>
      <c r="U691" s="7">
        <v>0.69992370945410531</v>
      </c>
    </row>
    <row r="692" spans="19:21" x14ac:dyDescent="0.25">
      <c r="S692" s="11">
        <v>674</v>
      </c>
      <c r="T692" s="4">
        <v>131.11101025794329</v>
      </c>
      <c r="U692" s="7">
        <v>0.3175661768459781</v>
      </c>
    </row>
    <row r="693" spans="19:21" x14ac:dyDescent="0.25">
      <c r="S693" s="11">
        <v>675</v>
      </c>
      <c r="T693" s="4">
        <v>146.47023362005933</v>
      </c>
      <c r="U693" s="7">
        <v>0.47191471832036314</v>
      </c>
    </row>
    <row r="694" spans="19:21" x14ac:dyDescent="0.25">
      <c r="S694" s="11">
        <v>676</v>
      </c>
      <c r="T694" s="4">
        <v>163.95271918093442</v>
      </c>
      <c r="U694" s="7">
        <v>0.64760043393562872</v>
      </c>
    </row>
    <row r="695" spans="19:21" x14ac:dyDescent="0.25">
      <c r="S695" s="11">
        <v>677</v>
      </c>
      <c r="T695" s="4">
        <v>164.91647467087935</v>
      </c>
      <c r="U695" s="7">
        <v>0.65728544539121048</v>
      </c>
    </row>
    <row r="696" spans="19:21" x14ac:dyDescent="0.25">
      <c r="S696" s="11">
        <v>678</v>
      </c>
      <c r="T696" s="4">
        <v>110.50920017530878</v>
      </c>
      <c r="U696" s="7">
        <v>0.11053361647380933</v>
      </c>
    </row>
    <row r="697" spans="19:21" x14ac:dyDescent="0.25">
      <c r="S697" s="11">
        <v>679</v>
      </c>
      <c r="T697" s="4">
        <v>100.72460861751439</v>
      </c>
      <c r="U697" s="7">
        <v>1.2205895060942495E-2</v>
      </c>
    </row>
    <row r="698" spans="19:21" x14ac:dyDescent="0.25">
      <c r="S698" s="11">
        <v>680</v>
      </c>
      <c r="T698" s="4">
        <v>84.239580978826169</v>
      </c>
      <c r="U698" s="7">
        <v>-0.15345612522534258</v>
      </c>
    </row>
    <row r="699" spans="19:21" x14ac:dyDescent="0.25">
      <c r="S699" s="11">
        <v>681</v>
      </c>
      <c r="T699" s="4">
        <v>91.572027411265381</v>
      </c>
      <c r="U699" s="7">
        <v>-7.9770601836344324E-2</v>
      </c>
    </row>
    <row r="700" spans="19:21" x14ac:dyDescent="0.25">
      <c r="S700" s="11">
        <v>682</v>
      </c>
      <c r="T700" s="4">
        <v>192.16643668250748</v>
      </c>
      <c r="U700" s="7">
        <v>0.93112688857911241</v>
      </c>
    </row>
    <row r="701" spans="19:21" x14ac:dyDescent="0.25">
      <c r="S701" s="11">
        <v>683</v>
      </c>
      <c r="T701" s="4">
        <v>93.527726690557273</v>
      </c>
      <c r="U701" s="7">
        <v>-6.0117307903152728E-2</v>
      </c>
    </row>
    <row r="702" spans="19:21" x14ac:dyDescent="0.25">
      <c r="S702" s="11">
        <v>684</v>
      </c>
      <c r="T702" s="4">
        <v>92.010614108211357</v>
      </c>
      <c r="U702" s="7">
        <v>-7.5363138295534648E-2</v>
      </c>
    </row>
    <row r="703" spans="19:21" x14ac:dyDescent="0.25">
      <c r="S703" s="11">
        <v>685</v>
      </c>
      <c r="T703" s="4">
        <v>127.18899153416486</v>
      </c>
      <c r="U703" s="7">
        <v>0.2781528643770963</v>
      </c>
    </row>
    <row r="704" spans="19:21" x14ac:dyDescent="0.25">
      <c r="S704" s="11">
        <v>686</v>
      </c>
      <c r="T704" s="4">
        <v>187.09404819321244</v>
      </c>
      <c r="U704" s="7">
        <v>0.88015323277271063</v>
      </c>
    </row>
    <row r="705" spans="19:21" x14ac:dyDescent="0.25">
      <c r="S705" s="11">
        <v>687</v>
      </c>
      <c r="T705" s="4">
        <v>116.67955437410899</v>
      </c>
      <c r="U705" s="7">
        <v>0.17254099461470185</v>
      </c>
    </row>
    <row r="706" spans="19:21" x14ac:dyDescent="0.25">
      <c r="S706" s="11">
        <v>688</v>
      </c>
      <c r="T706" s="4">
        <v>199.98553705238902</v>
      </c>
      <c r="U706" s="7">
        <v>1.0097029148064416</v>
      </c>
    </row>
    <row r="707" spans="19:21" x14ac:dyDescent="0.25">
      <c r="S707" s="11">
        <v>689</v>
      </c>
      <c r="T707" s="4">
        <v>145.82115616454223</v>
      </c>
      <c r="U707" s="7">
        <v>0.46539198235898116</v>
      </c>
    </row>
    <row r="708" spans="19:21" x14ac:dyDescent="0.25">
      <c r="S708" s="11">
        <v>690</v>
      </c>
      <c r="T708" s="4">
        <v>130.02402877296765</v>
      </c>
      <c r="U708" s="7">
        <v>0.30664283763408351</v>
      </c>
    </row>
    <row r="709" spans="19:21" x14ac:dyDescent="0.25">
      <c r="S709" s="11">
        <v>691</v>
      </c>
      <c r="T709" s="4">
        <v>110.25592970229656</v>
      </c>
      <c r="U709" s="7">
        <v>0.10798844038083155</v>
      </c>
    </row>
    <row r="710" spans="19:21" x14ac:dyDescent="0.25">
      <c r="S710" s="11">
        <v>692</v>
      </c>
      <c r="T710" s="4">
        <v>115.79333130132481</v>
      </c>
      <c r="U710" s="7">
        <v>0.16363512512636724</v>
      </c>
    </row>
    <row r="711" spans="19:21" x14ac:dyDescent="0.25">
      <c r="S711" s="11">
        <v>693</v>
      </c>
      <c r="T711" s="4">
        <v>149.39007851978761</v>
      </c>
      <c r="U711" s="7">
        <v>0.50125694422457645</v>
      </c>
    </row>
    <row r="712" spans="19:21" x14ac:dyDescent="0.25">
      <c r="S712" s="11">
        <v>694</v>
      </c>
      <c r="T712" s="4">
        <v>118.39959773131123</v>
      </c>
      <c r="U712" s="7">
        <v>0.18982612532721554</v>
      </c>
    </row>
    <row r="713" spans="19:21" x14ac:dyDescent="0.25">
      <c r="S713" s="11">
        <v>695</v>
      </c>
      <c r="T713" s="4">
        <v>140.18010792849242</v>
      </c>
      <c r="U713" s="7">
        <v>0.40870372754991879</v>
      </c>
    </row>
    <row r="714" spans="19:21" x14ac:dyDescent="0.25">
      <c r="S714" s="11">
        <v>696</v>
      </c>
      <c r="T714" s="4">
        <v>140.71809573980295</v>
      </c>
      <c r="U714" s="7">
        <v>0.41411009687270561</v>
      </c>
    </row>
    <row r="715" spans="19:21" x14ac:dyDescent="0.25">
      <c r="S715" s="11">
        <v>697</v>
      </c>
      <c r="T715" s="4">
        <v>223.10246761278447</v>
      </c>
      <c r="U715" s="7">
        <v>1.2420105277136413</v>
      </c>
    </row>
    <row r="716" spans="19:21" x14ac:dyDescent="0.25">
      <c r="S716" s="11">
        <v>698</v>
      </c>
      <c r="T716" s="4">
        <v>79.281795527588343</v>
      </c>
      <c r="U716" s="7">
        <v>-0.20327810745062469</v>
      </c>
    </row>
    <row r="717" spans="19:21" x14ac:dyDescent="0.25">
      <c r="S717" s="11">
        <v>699</v>
      </c>
      <c r="T717" s="4">
        <v>208.42687789344751</v>
      </c>
      <c r="U717" s="7">
        <v>1.0945319856642297</v>
      </c>
    </row>
    <row r="718" spans="19:21" x14ac:dyDescent="0.25">
      <c r="S718" s="11">
        <v>700</v>
      </c>
      <c r="T718" s="4">
        <v>122.91433320753198</v>
      </c>
      <c r="U718" s="7">
        <v>0.23519579145344172</v>
      </c>
    </row>
    <row r="719" spans="19:21" x14ac:dyDescent="0.25">
      <c r="S719" s="11">
        <v>701</v>
      </c>
      <c r="T719" s="4">
        <v>75.68211260212432</v>
      </c>
      <c r="U719" s="7">
        <v>-0.2394521897083276</v>
      </c>
    </row>
    <row r="720" spans="19:21" x14ac:dyDescent="0.25">
      <c r="S720" s="11">
        <v>702</v>
      </c>
      <c r="T720" s="4">
        <v>171.55983339050226</v>
      </c>
      <c r="U720" s="7">
        <v>0.72404616008946099</v>
      </c>
    </row>
    <row r="721" spans="19:21" x14ac:dyDescent="0.25">
      <c r="S721" s="11">
        <v>703</v>
      </c>
      <c r="T721" s="4">
        <v>123.66749562118811</v>
      </c>
      <c r="U721" s="7">
        <v>0.24276450227301893</v>
      </c>
    </row>
    <row r="722" spans="19:21" x14ac:dyDescent="0.25">
      <c r="S722" s="11">
        <v>704</v>
      </c>
      <c r="T722" s="4">
        <v>150.81888423138804</v>
      </c>
      <c r="U722" s="7">
        <v>0.51561535756595345</v>
      </c>
    </row>
    <row r="723" spans="19:21" x14ac:dyDescent="0.25">
      <c r="S723" s="11">
        <v>705</v>
      </c>
      <c r="T723" s="4">
        <v>115.01800568790397</v>
      </c>
      <c r="U723" s="7">
        <v>0.15584369096476691</v>
      </c>
    </row>
    <row r="724" spans="19:21" x14ac:dyDescent="0.25">
      <c r="S724" s="11">
        <v>706</v>
      </c>
      <c r="T724" s="4">
        <v>124.1256079890687</v>
      </c>
      <c r="U724" s="7">
        <v>0.24736818399224902</v>
      </c>
    </row>
    <row r="725" spans="19:21" x14ac:dyDescent="0.25">
      <c r="S725" s="11">
        <v>707</v>
      </c>
      <c r="T725" s="4">
        <v>246.85176944039935</v>
      </c>
      <c r="U725" s="7">
        <v>1.4806729920651125</v>
      </c>
    </row>
    <row r="726" spans="19:21" x14ac:dyDescent="0.25">
      <c r="S726" s="11">
        <v>708</v>
      </c>
      <c r="T726" s="4">
        <v>133.62954214404567</v>
      </c>
      <c r="U726" s="7">
        <v>0.34287551144654471</v>
      </c>
    </row>
    <row r="727" spans="19:21" x14ac:dyDescent="0.25">
      <c r="S727" s="11">
        <v>709</v>
      </c>
      <c r="T727" s="4">
        <v>84.924738809550504</v>
      </c>
      <c r="U727" s="7">
        <v>-0.14657080886794793</v>
      </c>
    </row>
    <row r="728" spans="19:21" x14ac:dyDescent="0.25">
      <c r="S728" s="11">
        <v>710</v>
      </c>
      <c r="T728" s="4">
        <v>212.6461257355557</v>
      </c>
      <c r="U728" s="7">
        <v>1.1369322252593275</v>
      </c>
    </row>
    <row r="729" spans="19:21" x14ac:dyDescent="0.25">
      <c r="S729" s="11">
        <v>711</v>
      </c>
      <c r="T729" s="4">
        <v>150.39029632405399</v>
      </c>
      <c r="U729" s="7">
        <v>0.51130837427448483</v>
      </c>
    </row>
    <row r="730" spans="19:21" x14ac:dyDescent="0.25">
      <c r="S730" s="11">
        <v>712</v>
      </c>
      <c r="T730" s="4">
        <v>174.36126242033617</v>
      </c>
      <c r="U730" s="7">
        <v>0.75219839634545438</v>
      </c>
    </row>
    <row r="731" spans="19:21" x14ac:dyDescent="0.25">
      <c r="S731" s="11">
        <v>713</v>
      </c>
      <c r="T731" s="4">
        <v>117.20780090403487</v>
      </c>
      <c r="U731" s="7">
        <v>0.17784947145045593</v>
      </c>
    </row>
    <row r="732" spans="19:21" x14ac:dyDescent="0.25">
      <c r="S732" s="11">
        <v>714</v>
      </c>
      <c r="T732" s="4">
        <v>131.65095054765439</v>
      </c>
      <c r="U732" s="7">
        <v>0.32299216709531087</v>
      </c>
    </row>
    <row r="733" spans="19:21" x14ac:dyDescent="0.25">
      <c r="S733" s="11">
        <v>715</v>
      </c>
      <c r="T733" s="4">
        <v>113.56830624213238</v>
      </c>
      <c r="U733" s="7">
        <v>0.14127531144741612</v>
      </c>
    </row>
    <row r="734" spans="19:21" x14ac:dyDescent="0.25">
      <c r="S734" s="11">
        <v>716</v>
      </c>
      <c r="T734" s="4">
        <v>138.5561008306781</v>
      </c>
      <c r="U734" s="7">
        <v>0.39238368837984217</v>
      </c>
    </row>
    <row r="735" spans="19:21" x14ac:dyDescent="0.25">
      <c r="S735" s="11">
        <v>717</v>
      </c>
      <c r="T735" s="4">
        <v>136.25279627765747</v>
      </c>
      <c r="U735" s="7">
        <v>0.36923722517995627</v>
      </c>
    </row>
    <row r="736" spans="19:21" x14ac:dyDescent="0.25">
      <c r="S736" s="11">
        <v>718</v>
      </c>
      <c r="T736" s="4">
        <v>153.59160731699595</v>
      </c>
      <c r="U736" s="7">
        <v>0.54347912086218408</v>
      </c>
    </row>
    <row r="737" spans="19:21" x14ac:dyDescent="0.25">
      <c r="S737" s="11">
        <v>719</v>
      </c>
      <c r="T737" s="4">
        <v>98.049010845157881</v>
      </c>
      <c r="U737" s="7">
        <v>-1.4681832527807526E-2</v>
      </c>
    </row>
    <row r="738" spans="19:21" x14ac:dyDescent="0.25">
      <c r="S738" s="11">
        <v>720</v>
      </c>
      <c r="T738" s="4">
        <v>117.93918214451638</v>
      </c>
      <c r="U738" s="7">
        <v>0.18519929800539026</v>
      </c>
    </row>
    <row r="739" spans="19:21" x14ac:dyDescent="0.25">
      <c r="S739" s="11">
        <v>721</v>
      </c>
      <c r="T739" s="4">
        <v>162.00687172528549</v>
      </c>
      <c r="U739" s="7">
        <v>0.62804614335529574</v>
      </c>
    </row>
    <row r="740" spans="19:21" x14ac:dyDescent="0.25">
      <c r="S740" s="11">
        <v>722</v>
      </c>
      <c r="T740" s="4">
        <v>96.780299711270501</v>
      </c>
      <c r="U740" s="7">
        <v>-2.7431416829760913E-2</v>
      </c>
    </row>
    <row r="741" spans="19:21" x14ac:dyDescent="0.25">
      <c r="S741" s="11">
        <v>723</v>
      </c>
      <c r="T741" s="4">
        <v>103.60740303519306</v>
      </c>
      <c r="U741" s="7">
        <v>4.1175791731414391E-2</v>
      </c>
    </row>
    <row r="742" spans="19:21" x14ac:dyDescent="0.25">
      <c r="S742" s="11">
        <v>724</v>
      </c>
      <c r="T742" s="4">
        <v>209.10837933241319</v>
      </c>
      <c r="U742" s="7">
        <v>1.1013805580586191</v>
      </c>
    </row>
    <row r="743" spans="19:21" x14ac:dyDescent="0.25">
      <c r="S743" s="11">
        <v>725</v>
      </c>
      <c r="T743" s="4">
        <v>93.481670340837681</v>
      </c>
      <c r="U743" s="7">
        <v>-6.0580139274066136E-2</v>
      </c>
    </row>
    <row r="744" spans="19:21" x14ac:dyDescent="0.25">
      <c r="S744" s="11">
        <v>726</v>
      </c>
      <c r="T744" s="4">
        <v>206.07347766048929</v>
      </c>
      <c r="U744" s="7">
        <v>1.070882098889451</v>
      </c>
    </row>
    <row r="745" spans="19:21" x14ac:dyDescent="0.25">
      <c r="S745" s="11">
        <v>727</v>
      </c>
      <c r="T745" s="4">
        <v>122.92782327636142</v>
      </c>
      <c r="U745" s="7">
        <v>0.23533135641002323</v>
      </c>
    </row>
    <row r="746" spans="19:21" x14ac:dyDescent="0.25">
      <c r="S746" s="11">
        <v>728</v>
      </c>
      <c r="T746" s="4">
        <v>144.9396146104354</v>
      </c>
      <c r="U746" s="7">
        <v>0.45653315858140275</v>
      </c>
    </row>
    <row r="747" spans="19:21" x14ac:dyDescent="0.25">
      <c r="S747" s="11">
        <v>729</v>
      </c>
      <c r="T747" s="4">
        <v>96.321681042733474</v>
      </c>
      <c r="U747" s="7">
        <v>-3.2040186486448907E-2</v>
      </c>
    </row>
    <row r="748" spans="19:21" x14ac:dyDescent="0.25">
      <c r="S748" s="11">
        <v>730</v>
      </c>
      <c r="T748" s="4">
        <v>100.86112812262822</v>
      </c>
      <c r="U748" s="7">
        <v>1.3577812507569176E-2</v>
      </c>
    </row>
    <row r="749" spans="19:21" x14ac:dyDescent="0.25">
      <c r="S749" s="11">
        <v>731</v>
      </c>
      <c r="T749" s="4">
        <v>155.64297064771824</v>
      </c>
      <c r="U749" s="7">
        <v>0.56409376593024052</v>
      </c>
    </row>
    <row r="750" spans="19:21" x14ac:dyDescent="0.25">
      <c r="S750" s="11">
        <v>732</v>
      </c>
      <c r="T750" s="4">
        <v>195.35342691769407</v>
      </c>
      <c r="U750" s="7">
        <v>0.96315372241678276</v>
      </c>
    </row>
    <row r="751" spans="19:21" x14ac:dyDescent="0.25">
      <c r="S751" s="11">
        <v>733</v>
      </c>
      <c r="T751" s="4">
        <v>215.27297913694218</v>
      </c>
      <c r="U751" s="7">
        <v>1.1633301089030468</v>
      </c>
    </row>
    <row r="752" spans="19:21" x14ac:dyDescent="0.25">
      <c r="S752" s="11">
        <v>734</v>
      </c>
      <c r="T752" s="4">
        <v>89.441855052572151</v>
      </c>
      <c r="U752" s="7">
        <v>-0.10117721784170286</v>
      </c>
    </row>
    <row r="753" spans="19:21" x14ac:dyDescent="0.25">
      <c r="S753" s="11">
        <v>735</v>
      </c>
      <c r="T753" s="4">
        <v>183.84389107596925</v>
      </c>
      <c r="U753" s="7">
        <v>0.8474916196962039</v>
      </c>
    </row>
    <row r="754" spans="19:21" x14ac:dyDescent="0.25">
      <c r="S754" s="11">
        <v>736</v>
      </c>
      <c r="T754" s="4">
        <v>118.27282290669768</v>
      </c>
      <c r="U754" s="7">
        <v>0.18855213452615494</v>
      </c>
    </row>
    <row r="755" spans="19:21" x14ac:dyDescent="0.25">
      <c r="S755" s="11">
        <v>737</v>
      </c>
      <c r="T755" s="4">
        <v>110.77358714602045</v>
      </c>
      <c r="U755" s="7">
        <v>0.11319050493438287</v>
      </c>
    </row>
    <row r="756" spans="19:21" x14ac:dyDescent="0.25">
      <c r="S756" s="11">
        <v>738</v>
      </c>
      <c r="T756" s="4">
        <v>131.32157218378447</v>
      </c>
      <c r="U756" s="7">
        <v>0.3196821644436183</v>
      </c>
    </row>
    <row r="757" spans="19:21" x14ac:dyDescent="0.25">
      <c r="S757" s="11">
        <v>739</v>
      </c>
      <c r="T757" s="4">
        <v>210.70028823973112</v>
      </c>
      <c r="U757" s="7">
        <v>1.1173780347676727</v>
      </c>
    </row>
    <row r="758" spans="19:21" x14ac:dyDescent="0.25">
      <c r="S758" s="11">
        <v>740</v>
      </c>
      <c r="T758" s="4">
        <v>146.42352334481481</v>
      </c>
      <c r="U758" s="7">
        <v>0.47144531549406898</v>
      </c>
    </row>
    <row r="759" spans="19:21" x14ac:dyDescent="0.25">
      <c r="S759" s="11">
        <v>741</v>
      </c>
      <c r="T759" s="4">
        <v>80.33452329699395</v>
      </c>
      <c r="U759" s="7">
        <v>-0.19269899209130792</v>
      </c>
    </row>
    <row r="760" spans="19:21" x14ac:dyDescent="0.25">
      <c r="S760" s="11">
        <v>742</v>
      </c>
      <c r="T760" s="4">
        <v>85.930084861682815</v>
      </c>
      <c r="U760" s="7">
        <v>-0.13646784381787946</v>
      </c>
    </row>
    <row r="761" spans="19:21" x14ac:dyDescent="0.25">
      <c r="S761" s="11">
        <v>743</v>
      </c>
      <c r="T761" s="4">
        <v>126.03278003732686</v>
      </c>
      <c r="U761" s="7">
        <v>0.26653381607202142</v>
      </c>
    </row>
    <row r="762" spans="19:21" x14ac:dyDescent="0.25">
      <c r="S762" s="11">
        <v>744</v>
      </c>
      <c r="T762" s="4">
        <v>156.02072156261508</v>
      </c>
      <c r="U762" s="7">
        <v>0.56788987601864216</v>
      </c>
    </row>
    <row r="763" spans="19:21" x14ac:dyDescent="0.25">
      <c r="S763" s="11">
        <v>745</v>
      </c>
      <c r="T763" s="4">
        <v>93.711188477919237</v>
      </c>
      <c r="U763" s="7">
        <v>-5.8273656135873431E-2</v>
      </c>
    </row>
    <row r="764" spans="19:21" x14ac:dyDescent="0.25">
      <c r="S764" s="11">
        <v>746</v>
      </c>
      <c r="T764" s="4">
        <v>102.04495824376117</v>
      </c>
      <c r="U764" s="7">
        <v>2.5474407032068713E-2</v>
      </c>
    </row>
    <row r="765" spans="19:21" x14ac:dyDescent="0.25">
      <c r="S765" s="11">
        <v>747</v>
      </c>
      <c r="T765" s="4">
        <v>116.48072925019272</v>
      </c>
      <c r="U765" s="7">
        <v>0.17054295297148747</v>
      </c>
    </row>
    <row r="766" spans="19:21" x14ac:dyDescent="0.25">
      <c r="S766" s="11">
        <v>748</v>
      </c>
      <c r="T766" s="4">
        <v>207.1514497657794</v>
      </c>
      <c r="U766" s="7">
        <v>1.0817149006710824</v>
      </c>
    </row>
    <row r="767" spans="19:21" x14ac:dyDescent="0.25">
      <c r="S767" s="11">
        <v>749</v>
      </c>
      <c r="T767" s="4">
        <v>95.816599632292622</v>
      </c>
      <c r="U767" s="7">
        <v>-3.7115871447164883E-2</v>
      </c>
    </row>
    <row r="768" spans="19:21" x14ac:dyDescent="0.25">
      <c r="S768" s="11">
        <v>750</v>
      </c>
      <c r="T768" s="4">
        <v>200.75624596026336</v>
      </c>
      <c r="U768" s="7">
        <v>1.0174479545800756</v>
      </c>
    </row>
    <row r="769" spans="19:21" x14ac:dyDescent="0.25">
      <c r="S769" s="11">
        <v>751</v>
      </c>
      <c r="T769" s="4">
        <v>104.39490603097529</v>
      </c>
      <c r="U769" s="7">
        <v>4.9089599346550994E-2</v>
      </c>
    </row>
    <row r="770" spans="19:21" x14ac:dyDescent="0.25">
      <c r="S770" s="11">
        <v>752</v>
      </c>
      <c r="T770" s="4">
        <v>153.91104414707331</v>
      </c>
      <c r="U770" s="7">
        <v>0.54668921864207931</v>
      </c>
    </row>
    <row r="771" spans="19:21" x14ac:dyDescent="0.25">
      <c r="S771" s="11">
        <v>753</v>
      </c>
      <c r="T771" s="4">
        <v>70.785380618260902</v>
      </c>
      <c r="U771" s="7">
        <v>-0.28866063090884431</v>
      </c>
    </row>
    <row r="772" spans="19:21" x14ac:dyDescent="0.25">
      <c r="S772" s="11">
        <v>754</v>
      </c>
      <c r="T772" s="4">
        <v>171.57644636956402</v>
      </c>
      <c r="U772" s="7">
        <v>0.72421310792447002</v>
      </c>
    </row>
    <row r="773" spans="19:21" x14ac:dyDescent="0.25">
      <c r="S773" s="11">
        <v>755</v>
      </c>
      <c r="T773" s="4">
        <v>178.00469364175189</v>
      </c>
      <c r="U773" s="7">
        <v>0.78881211578486465</v>
      </c>
    </row>
    <row r="774" spans="19:21" x14ac:dyDescent="0.25">
      <c r="S774" s="11">
        <v>756</v>
      </c>
      <c r="T774" s="4">
        <v>144.14847654209115</v>
      </c>
      <c r="U774" s="7">
        <v>0.44858282124501203</v>
      </c>
    </row>
    <row r="775" spans="19:21" x14ac:dyDescent="0.25">
      <c r="S775" s="11">
        <v>757</v>
      </c>
      <c r="T775" s="4">
        <v>112.18473554511463</v>
      </c>
      <c r="U775" s="7">
        <v>0.12737147568198792</v>
      </c>
    </row>
    <row r="776" spans="19:21" x14ac:dyDescent="0.25">
      <c r="S776" s="11">
        <v>758</v>
      </c>
      <c r="T776" s="4">
        <v>106.97964337341237</v>
      </c>
      <c r="U776" s="7">
        <v>7.5064248552028534E-2</v>
      </c>
    </row>
    <row r="777" spans="19:21" x14ac:dyDescent="0.25">
      <c r="S777" s="11">
        <v>759</v>
      </c>
      <c r="T777" s="4">
        <v>137.64405780911849</v>
      </c>
      <c r="U777" s="7">
        <v>0.38321834799636711</v>
      </c>
    </row>
    <row r="778" spans="19:21" x14ac:dyDescent="0.25">
      <c r="S778" s="11">
        <v>760</v>
      </c>
      <c r="T778" s="4">
        <v>114.60468776039397</v>
      </c>
      <c r="U778" s="7">
        <v>0.1516901593849258</v>
      </c>
    </row>
    <row r="779" spans="19:21" x14ac:dyDescent="0.25">
      <c r="S779" s="11">
        <v>761</v>
      </c>
      <c r="T779" s="4">
        <v>163.84022491201009</v>
      </c>
      <c r="U779" s="7">
        <v>0.64646995188433398</v>
      </c>
    </row>
    <row r="780" spans="19:21" x14ac:dyDescent="0.25">
      <c r="S780" s="11">
        <v>762</v>
      </c>
      <c r="T780" s="4">
        <v>186.47855753734541</v>
      </c>
      <c r="U780" s="7">
        <v>0.87396801866491214</v>
      </c>
    </row>
    <row r="781" spans="19:21" x14ac:dyDescent="0.25">
      <c r="S781" s="11">
        <v>763</v>
      </c>
      <c r="T781" s="4">
        <v>194.78669080673933</v>
      </c>
      <c r="U781" s="7">
        <v>0.9574584544944158</v>
      </c>
    </row>
    <row r="782" spans="19:21" x14ac:dyDescent="0.25">
      <c r="S782" s="11">
        <v>764</v>
      </c>
      <c r="T782" s="4">
        <v>115.38686229532186</v>
      </c>
      <c r="U782" s="7">
        <v>0.15955042001127384</v>
      </c>
    </row>
    <row r="783" spans="19:21" x14ac:dyDescent="0.25">
      <c r="S783" s="11">
        <v>765</v>
      </c>
      <c r="T783" s="4">
        <v>96.70086827752165</v>
      </c>
      <c r="U783" s="7">
        <v>-2.8229642472900718E-2</v>
      </c>
    </row>
    <row r="784" spans="19:21" x14ac:dyDescent="0.25">
      <c r="S784" s="11">
        <v>766</v>
      </c>
      <c r="T784" s="4">
        <v>115.68025204230479</v>
      </c>
      <c r="U784" s="7">
        <v>0.16249876436845323</v>
      </c>
    </row>
    <row r="785" spans="19:21" x14ac:dyDescent="0.25">
      <c r="S785" s="11">
        <v>767</v>
      </c>
      <c r="T785" s="4">
        <v>60.937955613684338</v>
      </c>
      <c r="U785" s="7">
        <v>-0.38761978078902282</v>
      </c>
    </row>
    <row r="786" spans="19:21" x14ac:dyDescent="0.25">
      <c r="S786" s="11">
        <v>768</v>
      </c>
      <c r="T786" s="4">
        <v>127.94143679264761</v>
      </c>
      <c r="U786" s="7">
        <v>0.28571436833129948</v>
      </c>
    </row>
    <row r="787" spans="19:21" x14ac:dyDescent="0.25">
      <c r="S787" s="11">
        <v>769</v>
      </c>
      <c r="T787" s="4">
        <v>132.28056115806967</v>
      </c>
      <c r="U787" s="7">
        <v>0.32931927603325972</v>
      </c>
    </row>
    <row r="788" spans="19:21" x14ac:dyDescent="0.25">
      <c r="S788" s="11">
        <v>770</v>
      </c>
      <c r="T788" s="4">
        <v>125.98368809491646</v>
      </c>
      <c r="U788" s="7">
        <v>0.26604047929772334</v>
      </c>
    </row>
    <row r="789" spans="19:21" x14ac:dyDescent="0.25">
      <c r="S789" s="11">
        <v>771</v>
      </c>
      <c r="T789" s="4">
        <v>170.90403129098829</v>
      </c>
      <c r="U789" s="7">
        <v>0.71745584655801697</v>
      </c>
    </row>
    <row r="790" spans="19:21" x14ac:dyDescent="0.25">
      <c r="S790" s="11">
        <v>772</v>
      </c>
      <c r="T790" s="4">
        <v>130.87427662856985</v>
      </c>
      <c r="U790" s="7">
        <v>0.3151871834847737</v>
      </c>
    </row>
    <row r="791" spans="19:21" x14ac:dyDescent="0.25">
      <c r="S791" s="11">
        <v>773</v>
      </c>
      <c r="T791" s="4">
        <v>111.76296165207513</v>
      </c>
      <c r="U791" s="7">
        <v>0.1231329680642661</v>
      </c>
    </row>
    <row r="792" spans="19:21" x14ac:dyDescent="0.25">
      <c r="S792" s="11">
        <v>774</v>
      </c>
      <c r="T792" s="4">
        <v>188.24101713432</v>
      </c>
      <c r="U792" s="7">
        <v>0.89167940040518534</v>
      </c>
    </row>
    <row r="793" spans="19:21" x14ac:dyDescent="0.25">
      <c r="S793" s="11">
        <v>775</v>
      </c>
      <c r="T793" s="4">
        <v>91.870076164820659</v>
      </c>
      <c r="U793" s="7">
        <v>-7.6775437997983587E-2</v>
      </c>
    </row>
    <row r="794" spans="19:21" x14ac:dyDescent="0.25">
      <c r="S794" s="11">
        <v>776</v>
      </c>
      <c r="T794" s="4">
        <v>104.92480517298033</v>
      </c>
      <c r="U794" s="7">
        <v>5.4414683679834486E-2</v>
      </c>
    </row>
    <row r="795" spans="19:21" x14ac:dyDescent="0.25">
      <c r="S795" s="11">
        <v>777</v>
      </c>
      <c r="T795" s="4">
        <v>224.68144561257415</v>
      </c>
      <c r="U795" s="7">
        <v>1.257878058612945</v>
      </c>
    </row>
    <row r="796" spans="19:21" x14ac:dyDescent="0.25">
      <c r="S796" s="11">
        <v>778</v>
      </c>
      <c r="T796" s="4">
        <v>74.413684037843765</v>
      </c>
      <c r="U796" s="7">
        <v>-0.25219893440012298</v>
      </c>
    </row>
    <row r="797" spans="19:21" x14ac:dyDescent="0.25">
      <c r="S797" s="11">
        <v>779</v>
      </c>
      <c r="T797" s="4">
        <v>98.177382483409914</v>
      </c>
      <c r="U797" s="7">
        <v>-1.339179496121079E-2</v>
      </c>
    </row>
    <row r="798" spans="19:21" x14ac:dyDescent="0.25">
      <c r="S798" s="11">
        <v>780</v>
      </c>
      <c r="T798" s="4">
        <v>111.0794902076467</v>
      </c>
      <c r="U798" s="7">
        <v>0.11626459860965421</v>
      </c>
    </row>
    <row r="799" spans="19:21" x14ac:dyDescent="0.25">
      <c r="S799" s="11">
        <v>781</v>
      </c>
      <c r="T799" s="4">
        <v>172.97523251401742</v>
      </c>
      <c r="U799" s="7">
        <v>0.73826984739239676</v>
      </c>
    </row>
    <row r="800" spans="19:21" x14ac:dyDescent="0.25">
      <c r="S800" s="11">
        <v>782</v>
      </c>
      <c r="T800" s="4">
        <v>121.15326028765701</v>
      </c>
      <c r="U800" s="7">
        <v>0.21749834476592311</v>
      </c>
    </row>
    <row r="801" spans="19:21" x14ac:dyDescent="0.25">
      <c r="S801" s="11">
        <v>783</v>
      </c>
      <c r="T801" s="4">
        <v>184.80783949110744</v>
      </c>
      <c r="U801" s="7">
        <v>0.85717856990360208</v>
      </c>
    </row>
    <row r="802" spans="19:21" x14ac:dyDescent="0.25">
      <c r="S802" s="11">
        <v>784</v>
      </c>
      <c r="T802" s="4">
        <v>134.10448570329322</v>
      </c>
      <c r="U802" s="7">
        <v>0.3476483338688896</v>
      </c>
    </row>
    <row r="803" spans="19:21" x14ac:dyDescent="0.25">
      <c r="S803" s="11">
        <v>785</v>
      </c>
      <c r="T803" s="4">
        <v>185.61050928912744</v>
      </c>
      <c r="U803" s="7">
        <v>0.86524479237390639</v>
      </c>
    </row>
    <row r="804" spans="19:21" x14ac:dyDescent="0.25">
      <c r="S804" s="11">
        <v>786</v>
      </c>
      <c r="T804" s="4">
        <v>137.94633359375365</v>
      </c>
      <c r="U804" s="7">
        <v>0.38625599028995716</v>
      </c>
    </row>
    <row r="805" spans="19:21" x14ac:dyDescent="0.25">
      <c r="S805" s="11">
        <v>787</v>
      </c>
      <c r="T805" s="4">
        <v>162.34790059684329</v>
      </c>
      <c r="U805" s="7">
        <v>0.63147322476980494</v>
      </c>
    </row>
    <row r="806" spans="19:21" x14ac:dyDescent="0.25">
      <c r="S806" s="11">
        <v>788</v>
      </c>
      <c r="T806" s="4">
        <v>121.8407956756074</v>
      </c>
      <c r="U806" s="7">
        <v>0.22440755376954469</v>
      </c>
    </row>
    <row r="807" spans="19:21" x14ac:dyDescent="0.25">
      <c r="S807" s="11">
        <v>789</v>
      </c>
      <c r="T807" s="4">
        <v>93.124972093864784</v>
      </c>
      <c r="U807" s="7">
        <v>-6.4164686022864292E-2</v>
      </c>
    </row>
    <row r="808" spans="19:21" x14ac:dyDescent="0.25">
      <c r="S808" s="11">
        <v>790</v>
      </c>
      <c r="T808" s="4">
        <v>105.79194709069199</v>
      </c>
      <c r="U808" s="7">
        <v>6.3128802036900744E-2</v>
      </c>
    </row>
    <row r="809" spans="19:21" x14ac:dyDescent="0.25">
      <c r="S809" s="11">
        <v>791</v>
      </c>
      <c r="T809" s="4">
        <v>175.41110244657028</v>
      </c>
      <c r="U809" s="7">
        <v>0.76274849207687945</v>
      </c>
    </row>
    <row r="810" spans="19:21" x14ac:dyDescent="0.25">
      <c r="S810" s="11">
        <v>792</v>
      </c>
      <c r="T810" s="4">
        <v>172.91655852343783</v>
      </c>
      <c r="U810" s="7">
        <v>0.73768021830406805</v>
      </c>
    </row>
    <row r="811" spans="19:21" x14ac:dyDescent="0.25">
      <c r="S811" s="11">
        <v>793</v>
      </c>
      <c r="T811" s="4">
        <v>116.37463314152926</v>
      </c>
      <c r="U811" s="7">
        <v>0.16947676757641705</v>
      </c>
    </row>
    <row r="812" spans="19:21" x14ac:dyDescent="0.25">
      <c r="S812" s="11">
        <v>794</v>
      </c>
      <c r="T812" s="4">
        <v>133.77317261075345</v>
      </c>
      <c r="U812" s="7">
        <v>0.34431888866197813</v>
      </c>
    </row>
    <row r="813" spans="19:21" x14ac:dyDescent="0.25">
      <c r="S813" s="11">
        <v>795</v>
      </c>
      <c r="T813" s="4">
        <v>135.89573276484109</v>
      </c>
      <c r="U813" s="7">
        <v>0.36564900778656506</v>
      </c>
    </row>
    <row r="814" spans="19:21" x14ac:dyDescent="0.25">
      <c r="S814" s="11">
        <v>796</v>
      </c>
      <c r="T814" s="4">
        <v>230.1845119547674</v>
      </c>
      <c r="U814" s="7">
        <v>1.3131797000780563</v>
      </c>
    </row>
    <row r="815" spans="19:21" x14ac:dyDescent="0.25">
      <c r="S815" s="11">
        <v>797</v>
      </c>
      <c r="T815" s="4">
        <v>155.1101546516914</v>
      </c>
      <c r="U815" s="7">
        <v>0.55873936942710678</v>
      </c>
    </row>
    <row r="816" spans="19:21" x14ac:dyDescent="0.25">
      <c r="S816" s="11">
        <v>798</v>
      </c>
      <c r="T816" s="4">
        <v>113.20659703017081</v>
      </c>
      <c r="U816" s="7">
        <v>0.13764040830238966</v>
      </c>
    </row>
    <row r="817" spans="19:21" x14ac:dyDescent="0.25">
      <c r="S817" s="11">
        <v>799</v>
      </c>
      <c r="T817" s="4">
        <v>132.25366379555913</v>
      </c>
      <c r="U817" s="7">
        <v>0.32904897794753429</v>
      </c>
    </row>
    <row r="818" spans="19:21" x14ac:dyDescent="0.25">
      <c r="S818" s="11">
        <v>800</v>
      </c>
      <c r="T818" s="4">
        <v>182.44816936366649</v>
      </c>
      <c r="U818" s="7">
        <v>0.83346567544635208</v>
      </c>
    </row>
    <row r="819" spans="19:21" x14ac:dyDescent="0.25">
      <c r="S819" s="11">
        <v>801</v>
      </c>
      <c r="T819" s="4">
        <v>129.09108528573915</v>
      </c>
      <c r="U819" s="7">
        <v>0.29726746342818955</v>
      </c>
    </row>
    <row r="820" spans="19:21" x14ac:dyDescent="0.25">
      <c r="S820" s="11">
        <v>802</v>
      </c>
      <c r="T820" s="4">
        <v>138.80863763088641</v>
      </c>
      <c r="U820" s="7">
        <v>0.39492149161779122</v>
      </c>
    </row>
    <row r="821" spans="19:21" x14ac:dyDescent="0.25">
      <c r="S821" s="11">
        <v>803</v>
      </c>
      <c r="T821" s="4">
        <v>210.7339075904305</v>
      </c>
      <c r="U821" s="7">
        <v>1.1177158837346046</v>
      </c>
    </row>
    <row r="822" spans="19:21" x14ac:dyDescent="0.25">
      <c r="S822" s="11">
        <v>804</v>
      </c>
      <c r="T822" s="4">
        <v>155.79777739154159</v>
      </c>
      <c r="U822" s="7">
        <v>0.5656494562510459</v>
      </c>
    </row>
    <row r="823" spans="19:21" x14ac:dyDescent="0.25">
      <c r="S823" s="11">
        <v>805</v>
      </c>
      <c r="T823" s="4">
        <v>172.11941403106161</v>
      </c>
      <c r="U823" s="7">
        <v>0.72966952096333637</v>
      </c>
    </row>
    <row r="824" spans="19:21" x14ac:dyDescent="0.25">
      <c r="S824" s="11">
        <v>806</v>
      </c>
      <c r="T824" s="4">
        <v>84.591929078080241</v>
      </c>
      <c r="U824" s="7">
        <v>-0.14991529416058447</v>
      </c>
    </row>
    <row r="825" spans="19:21" x14ac:dyDescent="0.25">
      <c r="S825" s="11">
        <v>807</v>
      </c>
      <c r="T825" s="4">
        <v>204.11113105067562</v>
      </c>
      <c r="U825" s="7">
        <v>1.051162004327963</v>
      </c>
    </row>
    <row r="826" spans="19:21" x14ac:dyDescent="0.25">
      <c r="S826" s="11">
        <v>808</v>
      </c>
      <c r="T826" s="4">
        <v>89.861407014859324</v>
      </c>
      <c r="U826" s="7">
        <v>-9.6961038942223743E-2</v>
      </c>
    </row>
    <row r="827" spans="19:21" x14ac:dyDescent="0.25">
      <c r="S827" s="11">
        <v>809</v>
      </c>
      <c r="T827" s="4">
        <v>222.17107805904806</v>
      </c>
      <c r="U827" s="7">
        <v>1.2326507693603461</v>
      </c>
    </row>
    <row r="828" spans="19:21" x14ac:dyDescent="0.25">
      <c r="S828" s="11">
        <v>810</v>
      </c>
      <c r="T828" s="4">
        <v>167.91898364346025</v>
      </c>
      <c r="U828" s="7">
        <v>0.68745838250889602</v>
      </c>
    </row>
    <row r="829" spans="19:21" x14ac:dyDescent="0.25">
      <c r="S829" s="11">
        <v>811</v>
      </c>
      <c r="T829" s="4">
        <v>145.87765843099086</v>
      </c>
      <c r="U829" s="7">
        <v>0.46595978726751941</v>
      </c>
    </row>
    <row r="830" spans="19:21" x14ac:dyDescent="0.25">
      <c r="S830" s="11">
        <v>812</v>
      </c>
      <c r="T830" s="4">
        <v>89.748338543734448</v>
      </c>
      <c r="U830" s="7">
        <v>-9.8097291289976463E-2</v>
      </c>
    </row>
    <row r="831" spans="19:21" x14ac:dyDescent="0.25">
      <c r="S831" s="11">
        <v>813</v>
      </c>
      <c r="T831" s="4">
        <v>113.34926773386553</v>
      </c>
      <c r="U831" s="7">
        <v>0.13907414062773116</v>
      </c>
    </row>
    <row r="832" spans="19:21" x14ac:dyDescent="0.25">
      <c r="S832" s="11">
        <v>814</v>
      </c>
      <c r="T832" s="4">
        <v>185.11784139685145</v>
      </c>
      <c r="U832" s="7">
        <v>0.86029385385239099</v>
      </c>
    </row>
    <row r="833" spans="19:21" x14ac:dyDescent="0.25">
      <c r="S833" s="11">
        <v>815</v>
      </c>
      <c r="T833" s="4">
        <v>135.4870991869154</v>
      </c>
      <c r="U833" s="7">
        <v>0.36154255036594707</v>
      </c>
    </row>
    <row r="834" spans="19:21" x14ac:dyDescent="0.25">
      <c r="S834" s="11">
        <v>816</v>
      </c>
      <c r="T834" s="4">
        <v>104.38595348038459</v>
      </c>
      <c r="U834" s="7">
        <v>4.8999633005573084E-2</v>
      </c>
    </row>
    <row r="835" spans="19:21" x14ac:dyDescent="0.25">
      <c r="S835" s="11">
        <v>817</v>
      </c>
      <c r="T835" s="4">
        <v>122.67218693988528</v>
      </c>
      <c r="U835" s="7">
        <v>0.23276240518425562</v>
      </c>
    </row>
    <row r="836" spans="19:21" x14ac:dyDescent="0.25">
      <c r="S836" s="11">
        <v>818</v>
      </c>
      <c r="T836" s="4">
        <v>148.90085855584809</v>
      </c>
      <c r="U836" s="7">
        <v>0.49634065476683831</v>
      </c>
    </row>
    <row r="837" spans="19:21" x14ac:dyDescent="0.25">
      <c r="S837" s="11">
        <v>819</v>
      </c>
      <c r="T837" s="4">
        <v>83.876448908544177</v>
      </c>
      <c r="U837" s="7">
        <v>-0.15710532701694124</v>
      </c>
    </row>
    <row r="838" spans="19:21" x14ac:dyDescent="0.25">
      <c r="S838" s="11">
        <v>820</v>
      </c>
      <c r="T838" s="4">
        <v>111.98115353780331</v>
      </c>
      <c r="U838" s="7">
        <v>0.125325630969785</v>
      </c>
    </row>
    <row r="839" spans="19:21" x14ac:dyDescent="0.25">
      <c r="S839" s="11">
        <v>821</v>
      </c>
      <c r="T839" s="4">
        <v>97.670738820626923</v>
      </c>
      <c r="U839" s="7">
        <v>-1.8483179372656866E-2</v>
      </c>
    </row>
    <row r="840" spans="19:21" x14ac:dyDescent="0.25">
      <c r="S840" s="11">
        <v>822</v>
      </c>
      <c r="T840" s="4">
        <v>83.884449300378961</v>
      </c>
      <c r="U840" s="7">
        <v>-0.15702492914904076</v>
      </c>
    </row>
    <row r="841" spans="19:21" x14ac:dyDescent="0.25">
      <c r="S841" s="11">
        <v>823</v>
      </c>
      <c r="T841" s="4">
        <v>191.1353074221513</v>
      </c>
      <c r="U841" s="7">
        <v>0.92076482184857089</v>
      </c>
    </row>
    <row r="842" spans="19:21" x14ac:dyDescent="0.25">
      <c r="S842" s="11">
        <v>824</v>
      </c>
      <c r="T842" s="4">
        <v>80.184713959940368</v>
      </c>
      <c r="U842" s="7">
        <v>-0.19420446226569832</v>
      </c>
    </row>
    <row r="843" spans="19:21" x14ac:dyDescent="0.25">
      <c r="S843" s="11">
        <v>825</v>
      </c>
      <c r="T843" s="4">
        <v>180.23100452678594</v>
      </c>
      <c r="U843" s="7">
        <v>0.81118485103794513</v>
      </c>
    </row>
    <row r="844" spans="19:21" x14ac:dyDescent="0.25">
      <c r="S844" s="11">
        <v>826</v>
      </c>
      <c r="T844" s="4">
        <v>115.22793818481252</v>
      </c>
      <c r="U844" s="7">
        <v>0.15795335327919324</v>
      </c>
    </row>
    <row r="845" spans="19:21" x14ac:dyDescent="0.25">
      <c r="S845" s="11">
        <v>827</v>
      </c>
      <c r="T845" s="4">
        <v>102.17459092875251</v>
      </c>
      <c r="U845" s="7">
        <v>2.6777117161616903E-2</v>
      </c>
    </row>
    <row r="846" spans="19:21" x14ac:dyDescent="0.25">
      <c r="S846" s="11">
        <v>828</v>
      </c>
      <c r="T846" s="4">
        <v>164.05272762362821</v>
      </c>
      <c r="U846" s="7">
        <v>0.648605442906524</v>
      </c>
    </row>
    <row r="847" spans="19:21" x14ac:dyDescent="0.25">
      <c r="S847" s="11">
        <v>829</v>
      </c>
      <c r="T847" s="4">
        <v>110.81781462728706</v>
      </c>
      <c r="U847" s="7">
        <v>0.11363495756493869</v>
      </c>
    </row>
    <row r="848" spans="19:21" x14ac:dyDescent="0.25">
      <c r="S848" s="11">
        <v>830</v>
      </c>
      <c r="T848" s="4">
        <v>77.75996714216167</v>
      </c>
      <c r="U848" s="7">
        <v>-0.21857132808600477</v>
      </c>
    </row>
    <row r="849" spans="19:21" x14ac:dyDescent="0.25">
      <c r="S849" s="11">
        <v>831</v>
      </c>
      <c r="T849" s="4">
        <v>80.270203851695968</v>
      </c>
      <c r="U849" s="7">
        <v>-0.19334535371624995</v>
      </c>
    </row>
    <row r="850" spans="19:21" x14ac:dyDescent="0.25">
      <c r="S850" s="11">
        <v>832</v>
      </c>
      <c r="T850" s="4">
        <v>106.12632122629444</v>
      </c>
      <c r="U850" s="7">
        <v>6.6489008404124528E-2</v>
      </c>
    </row>
    <row r="851" spans="19:21" x14ac:dyDescent="0.25">
      <c r="S851" s="11">
        <v>833</v>
      </c>
      <c r="T851" s="4">
        <v>72.778277806968347</v>
      </c>
      <c r="U851" s="7">
        <v>-0.26863352620873937</v>
      </c>
    </row>
    <row r="852" spans="19:21" x14ac:dyDescent="0.25">
      <c r="S852" s="11">
        <v>834</v>
      </c>
      <c r="T852" s="4">
        <v>120.42323553031991</v>
      </c>
      <c r="U852" s="7">
        <v>0.21016214983740245</v>
      </c>
    </row>
    <row r="853" spans="19:21" x14ac:dyDescent="0.25">
      <c r="S853" s="11">
        <v>835</v>
      </c>
      <c r="T853" s="4">
        <v>256.70531884640127</v>
      </c>
      <c r="U853" s="7">
        <v>1.5796936875329237</v>
      </c>
    </row>
    <row r="854" spans="19:21" x14ac:dyDescent="0.25">
      <c r="S854" s="11">
        <v>836</v>
      </c>
      <c r="T854" s="4">
        <v>188.85380937840142</v>
      </c>
      <c r="U854" s="7">
        <v>0.89783749752187125</v>
      </c>
    </row>
    <row r="855" spans="19:21" x14ac:dyDescent="0.25">
      <c r="S855" s="11">
        <v>837</v>
      </c>
      <c r="T855" s="4">
        <v>91.147457991066887</v>
      </c>
      <c r="U855" s="7">
        <v>-8.4037202380998099E-2</v>
      </c>
    </row>
    <row r="856" spans="19:21" x14ac:dyDescent="0.25">
      <c r="S856" s="11">
        <v>838</v>
      </c>
      <c r="T856" s="4">
        <v>82.286600919149265</v>
      </c>
      <c r="U856" s="7">
        <v>-0.1730820930645236</v>
      </c>
    </row>
    <row r="857" spans="19:21" x14ac:dyDescent="0.25">
      <c r="S857" s="11">
        <v>839</v>
      </c>
      <c r="T857" s="4">
        <v>94.232826292417542</v>
      </c>
      <c r="U857" s="7">
        <v>-5.3031591876017137E-2</v>
      </c>
    </row>
    <row r="858" spans="19:21" x14ac:dyDescent="0.25">
      <c r="S858" s="11">
        <v>840</v>
      </c>
      <c r="T858" s="4">
        <v>80.355647775542423</v>
      </c>
      <c r="U858" s="7">
        <v>-0.19248670710941196</v>
      </c>
    </row>
    <row r="859" spans="19:21" x14ac:dyDescent="0.25">
      <c r="S859" s="11">
        <v>841</v>
      </c>
      <c r="T859" s="4">
        <v>63.777945495553595</v>
      </c>
      <c r="U859" s="7">
        <v>-0.35908003722687576</v>
      </c>
    </row>
    <row r="860" spans="19:21" x14ac:dyDescent="0.25">
      <c r="S860" s="11">
        <v>842</v>
      </c>
      <c r="T860" s="4">
        <v>149.39269302777137</v>
      </c>
      <c r="U860" s="7">
        <v>0.50128321804613973</v>
      </c>
    </row>
    <row r="861" spans="19:21" x14ac:dyDescent="0.25">
      <c r="S861" s="11">
        <v>843</v>
      </c>
      <c r="T861" s="4">
        <v>221.41345482452627</v>
      </c>
      <c r="U861" s="7">
        <v>1.2250372306755728</v>
      </c>
    </row>
    <row r="862" spans="19:21" x14ac:dyDescent="0.25">
      <c r="S862" s="11">
        <v>844</v>
      </c>
      <c r="T862" s="4">
        <v>151.92841534762738</v>
      </c>
      <c r="U862" s="7">
        <v>0.52676530346324357</v>
      </c>
    </row>
    <row r="863" spans="19:21" x14ac:dyDescent="0.25">
      <c r="S863" s="11">
        <v>845</v>
      </c>
      <c r="T863" s="4">
        <v>157.04780198527945</v>
      </c>
      <c r="U863" s="7">
        <v>0.57821125500230575</v>
      </c>
    </row>
    <row r="864" spans="19:21" x14ac:dyDescent="0.25">
      <c r="S864" s="11">
        <v>846</v>
      </c>
      <c r="T864" s="4">
        <v>109.63883251114524</v>
      </c>
      <c r="U864" s="7">
        <v>0.10178708181233276</v>
      </c>
    </row>
    <row r="865" spans="19:21" x14ac:dyDescent="0.25">
      <c r="S865" s="11">
        <v>847</v>
      </c>
      <c r="T865" s="4">
        <v>82.578537742458138</v>
      </c>
      <c r="U865" s="7">
        <v>-0.17014834948790947</v>
      </c>
    </row>
    <row r="866" spans="19:21" x14ac:dyDescent="0.25">
      <c r="S866" s="11">
        <v>848</v>
      </c>
      <c r="T866" s="4">
        <v>291.43132849050937</v>
      </c>
      <c r="U866" s="7">
        <v>1.9286637372174593</v>
      </c>
    </row>
    <row r="867" spans="19:21" x14ac:dyDescent="0.25">
      <c r="S867" s="11">
        <v>849</v>
      </c>
      <c r="T867" s="4">
        <v>72.420444348254094</v>
      </c>
      <c r="U867" s="7">
        <v>-0.27222948097423283</v>
      </c>
    </row>
    <row r="868" spans="19:21" x14ac:dyDescent="0.25">
      <c r="S868" s="11">
        <v>850</v>
      </c>
      <c r="T868" s="4">
        <v>98.158054754009854</v>
      </c>
      <c r="U868" s="7">
        <v>-1.3586023977390727E-2</v>
      </c>
    </row>
    <row r="869" spans="19:21" x14ac:dyDescent="0.25">
      <c r="S869" s="11">
        <v>851</v>
      </c>
      <c r="T869" s="4">
        <v>86.020139672637754</v>
      </c>
      <c r="U869" s="7">
        <v>-0.13556286129396289</v>
      </c>
    </row>
    <row r="870" spans="19:21" x14ac:dyDescent="0.25">
      <c r="S870" s="11">
        <v>852</v>
      </c>
      <c r="T870" s="4">
        <v>108.9906147679654</v>
      </c>
      <c r="U870" s="7">
        <v>9.5272985307661484E-2</v>
      </c>
    </row>
    <row r="871" spans="19:21" x14ac:dyDescent="0.25">
      <c r="S871" s="11">
        <v>853</v>
      </c>
      <c r="T871" s="4">
        <v>259.8264237549285</v>
      </c>
      <c r="U871" s="7">
        <v>1.6110584238260324</v>
      </c>
    </row>
    <row r="872" spans="19:21" x14ac:dyDescent="0.25">
      <c r="S872" s="11">
        <v>854</v>
      </c>
      <c r="T872" s="4">
        <v>221.65745923724558</v>
      </c>
      <c r="U872" s="7">
        <v>1.2274892898929308</v>
      </c>
    </row>
    <row r="873" spans="19:21" x14ac:dyDescent="0.25">
      <c r="S873" s="11">
        <v>855</v>
      </c>
      <c r="T873" s="4">
        <v>123.4751893550265</v>
      </c>
      <c r="U873" s="7">
        <v>0.24083197020426583</v>
      </c>
    </row>
    <row r="874" spans="19:21" x14ac:dyDescent="0.25">
      <c r="S874" s="11">
        <v>856</v>
      </c>
      <c r="T874" s="4">
        <v>98.477638612402671</v>
      </c>
      <c r="U874" s="7">
        <v>-1.0374448674478232E-2</v>
      </c>
    </row>
    <row r="875" spans="19:21" x14ac:dyDescent="0.25">
      <c r="S875" s="11">
        <v>857</v>
      </c>
      <c r="T875" s="4">
        <v>155.7449773075258</v>
      </c>
      <c r="U875" s="7">
        <v>0.56511885546704654</v>
      </c>
    </row>
    <row r="876" spans="19:21" x14ac:dyDescent="0.25">
      <c r="S876" s="11">
        <v>858</v>
      </c>
      <c r="T876" s="4">
        <v>170.28670133273195</v>
      </c>
      <c r="U876" s="7">
        <v>0.71125214885671739</v>
      </c>
    </row>
    <row r="877" spans="19:21" x14ac:dyDescent="0.25">
      <c r="S877" s="11">
        <v>859</v>
      </c>
      <c r="T877" s="4">
        <v>83.018693897982089</v>
      </c>
      <c r="U877" s="7">
        <v>-0.16572511407916701</v>
      </c>
    </row>
    <row r="878" spans="19:21" x14ac:dyDescent="0.25">
      <c r="S878" s="11">
        <v>860</v>
      </c>
      <c r="T878" s="4">
        <v>130.45472305136937</v>
      </c>
      <c r="U878" s="7">
        <v>0.31097098835664116</v>
      </c>
    </row>
    <row r="879" spans="19:21" x14ac:dyDescent="0.25">
      <c r="S879" s="11">
        <v>861</v>
      </c>
      <c r="T879" s="4">
        <v>142.89347189713612</v>
      </c>
      <c r="U879" s="7">
        <v>0.43597097675747287</v>
      </c>
    </row>
    <row r="880" spans="19:21" x14ac:dyDescent="0.25">
      <c r="S880" s="11">
        <v>862</v>
      </c>
      <c r="T880" s="4">
        <v>106.890309055513</v>
      </c>
      <c r="U880" s="7">
        <v>7.4166506436669666E-2</v>
      </c>
    </row>
    <row r="881" spans="19:21" x14ac:dyDescent="0.25">
      <c r="S881" s="11">
        <v>863</v>
      </c>
      <c r="T881" s="4">
        <v>99.897800272846496</v>
      </c>
      <c r="U881" s="7">
        <v>3.8970985111697054E-3</v>
      </c>
    </row>
    <row r="882" spans="19:21" x14ac:dyDescent="0.25">
      <c r="S882" s="11">
        <v>864</v>
      </c>
      <c r="T882" s="4">
        <v>92.655899788433899</v>
      </c>
      <c r="U882" s="7">
        <v>-6.8878506798976002E-2</v>
      </c>
    </row>
    <row r="883" spans="19:21" x14ac:dyDescent="0.25">
      <c r="S883" s="11">
        <v>865</v>
      </c>
      <c r="T883" s="4">
        <v>90.763252510850194</v>
      </c>
      <c r="U883" s="7">
        <v>-8.7898175953671109E-2</v>
      </c>
    </row>
    <row r="884" spans="19:21" x14ac:dyDescent="0.25">
      <c r="S884" s="11">
        <v>866</v>
      </c>
      <c r="T884" s="4">
        <v>134.53173700983555</v>
      </c>
      <c r="U884" s="7">
        <v>0.35194188533650439</v>
      </c>
    </row>
    <row r="885" spans="19:21" x14ac:dyDescent="0.25">
      <c r="S885" s="11">
        <v>867</v>
      </c>
      <c r="T885" s="4">
        <v>133.55070453826113</v>
      </c>
      <c r="U885" s="7">
        <v>0.34208325332389822</v>
      </c>
    </row>
    <row r="886" spans="19:21" x14ac:dyDescent="0.25">
      <c r="S886" s="11">
        <v>868</v>
      </c>
      <c r="T886" s="4">
        <v>157.38023643420485</v>
      </c>
      <c r="U886" s="7">
        <v>0.58155196899009987</v>
      </c>
    </row>
    <row r="887" spans="19:21" x14ac:dyDescent="0.25">
      <c r="S887" s="11">
        <v>869</v>
      </c>
      <c r="T887" s="4">
        <v>208.79372977228806</v>
      </c>
      <c r="U887" s="7">
        <v>1.0982185687095574</v>
      </c>
    </row>
    <row r="888" spans="19:21" x14ac:dyDescent="0.25">
      <c r="S888" s="11">
        <v>870</v>
      </c>
      <c r="T888" s="4">
        <v>127.68304235851103</v>
      </c>
      <c r="U888" s="7">
        <v>0.28311770031666184</v>
      </c>
    </row>
    <row r="889" spans="19:21" x14ac:dyDescent="0.25">
      <c r="S889" s="11">
        <v>871</v>
      </c>
      <c r="T889" s="4">
        <v>112.27241283214903</v>
      </c>
      <c r="U889" s="7">
        <v>0.12825256589437273</v>
      </c>
    </row>
    <row r="890" spans="19:21" x14ac:dyDescent="0.25">
      <c r="S890" s="11">
        <v>872</v>
      </c>
      <c r="T890" s="4">
        <v>128.98011998417894</v>
      </c>
      <c r="U890" s="7">
        <v>0.29615234633884979</v>
      </c>
    </row>
    <row r="891" spans="19:21" x14ac:dyDescent="0.25">
      <c r="S891" s="11">
        <v>873</v>
      </c>
      <c r="T891" s="4">
        <v>163.12090988779892</v>
      </c>
      <c r="U891" s="7">
        <v>0.63924138164806465</v>
      </c>
    </row>
    <row r="892" spans="19:21" x14ac:dyDescent="0.25">
      <c r="S892" s="11">
        <v>874</v>
      </c>
      <c r="T892" s="4">
        <v>104.04737210093725</v>
      </c>
      <c r="U892" s="7">
        <v>4.5597147029818652E-2</v>
      </c>
    </row>
    <row r="893" spans="19:21" x14ac:dyDescent="0.25">
      <c r="S893" s="11">
        <v>875</v>
      </c>
      <c r="T893" s="4">
        <v>182.66841297228436</v>
      </c>
      <c r="U893" s="7">
        <v>0.83567895661023361</v>
      </c>
    </row>
    <row r="894" spans="19:21" x14ac:dyDescent="0.25">
      <c r="S894" s="11">
        <v>876</v>
      </c>
      <c r="T894" s="4">
        <v>146.35854634226689</v>
      </c>
      <c r="U894" s="7">
        <v>0.4707923459176655</v>
      </c>
    </row>
    <row r="895" spans="19:21" x14ac:dyDescent="0.25">
      <c r="S895" s="11">
        <v>877</v>
      </c>
      <c r="T895" s="4">
        <v>89.717850642760624</v>
      </c>
      <c r="U895" s="7">
        <v>-9.8403671563052741E-2</v>
      </c>
    </row>
    <row r="896" spans="19:21" x14ac:dyDescent="0.25">
      <c r="S896" s="11">
        <v>878</v>
      </c>
      <c r="T896" s="4">
        <v>210.67238965674096</v>
      </c>
      <c r="U896" s="7">
        <v>1.1170976751757706</v>
      </c>
    </row>
    <row r="897" spans="19:21" x14ac:dyDescent="0.25">
      <c r="S897" s="11">
        <v>879</v>
      </c>
      <c r="T897" s="4">
        <v>227.20200155571737</v>
      </c>
      <c r="U897" s="7">
        <v>1.2832077334510839</v>
      </c>
    </row>
    <row r="898" spans="19:21" x14ac:dyDescent="0.25">
      <c r="S898" s="11">
        <v>880</v>
      </c>
      <c r="T898" s="4">
        <v>157.04832468942712</v>
      </c>
      <c r="U898" s="7">
        <v>0.57821650778240485</v>
      </c>
    </row>
    <row r="899" spans="19:21" x14ac:dyDescent="0.25">
      <c r="S899" s="11">
        <v>881</v>
      </c>
      <c r="T899" s="4">
        <v>147.79934868755336</v>
      </c>
      <c r="U899" s="7">
        <v>0.48527131632552867</v>
      </c>
    </row>
    <row r="900" spans="19:21" x14ac:dyDescent="0.25">
      <c r="S900" s="11">
        <v>882</v>
      </c>
      <c r="T900" s="4">
        <v>83.673660478774266</v>
      </c>
      <c r="U900" s="7">
        <v>-0.15914319687695444</v>
      </c>
    </row>
    <row r="901" spans="19:21" x14ac:dyDescent="0.25">
      <c r="S901" s="11">
        <v>883</v>
      </c>
      <c r="T901" s="4">
        <v>171.19590691831328</v>
      </c>
      <c r="U901" s="7">
        <v>0.72038897516142364</v>
      </c>
    </row>
    <row r="902" spans="19:21" x14ac:dyDescent="0.25">
      <c r="S902" s="11">
        <v>884</v>
      </c>
      <c r="T902" s="4">
        <v>129.8478068330727</v>
      </c>
      <c r="U902" s="7">
        <v>0.30487194084084712</v>
      </c>
    </row>
    <row r="903" spans="19:21" x14ac:dyDescent="0.25">
      <c r="S903" s="11">
        <v>885</v>
      </c>
      <c r="T903" s="4">
        <v>210.7838065894916</v>
      </c>
      <c r="U903" s="7">
        <v>1.1182173308159138</v>
      </c>
    </row>
    <row r="904" spans="19:21" x14ac:dyDescent="0.25">
      <c r="S904" s="11">
        <v>886</v>
      </c>
      <c r="T904" s="4">
        <v>211.45825296751232</v>
      </c>
      <c r="U904" s="7">
        <v>1.1249950052006059</v>
      </c>
    </row>
    <row r="905" spans="19:21" x14ac:dyDescent="0.25">
      <c r="S905" s="11">
        <v>887</v>
      </c>
      <c r="T905" s="4">
        <v>176.59064709817287</v>
      </c>
      <c r="U905" s="7">
        <v>0.77460202088406049</v>
      </c>
    </row>
    <row r="906" spans="19:21" x14ac:dyDescent="0.25">
      <c r="S906" s="11">
        <v>888</v>
      </c>
      <c r="T906" s="4">
        <v>103.56457664369772</v>
      </c>
      <c r="U906" s="7">
        <v>4.0745418990028259E-2</v>
      </c>
    </row>
    <row r="907" spans="19:21" x14ac:dyDescent="0.25">
      <c r="S907" s="11">
        <v>889</v>
      </c>
      <c r="T907" s="4">
        <v>105.67305285974916</v>
      </c>
      <c r="U907" s="7">
        <v>6.1934005223084787E-2</v>
      </c>
    </row>
    <row r="908" spans="19:21" x14ac:dyDescent="0.25">
      <c r="S908" s="11">
        <v>890</v>
      </c>
      <c r="T908" s="4">
        <v>94.380464959630928</v>
      </c>
      <c r="U908" s="7">
        <v>-5.154793528659507E-2</v>
      </c>
    </row>
    <row r="909" spans="19:21" x14ac:dyDescent="0.25">
      <c r="S909" s="11">
        <v>891</v>
      </c>
      <c r="T909" s="4">
        <v>91.104626635473977</v>
      </c>
      <c r="U909" s="7">
        <v>-8.4467625007798475E-2</v>
      </c>
    </row>
    <row r="910" spans="19:21" x14ac:dyDescent="0.25">
      <c r="S910" s="11">
        <v>892</v>
      </c>
      <c r="T910" s="4">
        <v>178.04634406425947</v>
      </c>
      <c r="U910" s="7">
        <v>0.78923067093015242</v>
      </c>
    </row>
    <row r="911" spans="19:21" x14ac:dyDescent="0.25">
      <c r="S911" s="11">
        <v>893</v>
      </c>
      <c r="T911" s="4">
        <v>87.209041726946225</v>
      </c>
      <c r="U911" s="7">
        <v>-0.12361529768921498</v>
      </c>
    </row>
    <row r="912" spans="19:21" x14ac:dyDescent="0.25">
      <c r="S912" s="11">
        <v>894</v>
      </c>
      <c r="T912" s="4">
        <v>132.82504327892113</v>
      </c>
      <c r="U912" s="7">
        <v>0.33479090823958524</v>
      </c>
    </row>
    <row r="913" spans="19:21" x14ac:dyDescent="0.25">
      <c r="S913" s="11">
        <v>895</v>
      </c>
      <c r="T913" s="4">
        <v>82.483946208938747</v>
      </c>
      <c r="U913" s="7">
        <v>-0.17109892263150694</v>
      </c>
    </row>
    <row r="914" spans="19:21" x14ac:dyDescent="0.25">
      <c r="S914" s="11">
        <v>896</v>
      </c>
      <c r="T914" s="4">
        <v>147.64458444048023</v>
      </c>
      <c r="U914" s="7">
        <v>0.48371605306481991</v>
      </c>
    </row>
    <row r="915" spans="19:21" x14ac:dyDescent="0.25">
      <c r="S915" s="11">
        <v>897</v>
      </c>
      <c r="T915" s="4">
        <v>113.5800032580742</v>
      </c>
      <c r="U915" s="7">
        <v>0.14139285758289821</v>
      </c>
    </row>
    <row r="916" spans="19:21" x14ac:dyDescent="0.25">
      <c r="S916" s="11">
        <v>898</v>
      </c>
      <c r="T916" s="4">
        <v>104.13293094353917</v>
      </c>
      <c r="U916" s="7">
        <v>4.6456948482958005E-2</v>
      </c>
    </row>
    <row r="917" spans="19:21" x14ac:dyDescent="0.25">
      <c r="S917" s="11">
        <v>899</v>
      </c>
      <c r="T917" s="4">
        <v>134.51807334787489</v>
      </c>
      <c r="U917" s="7">
        <v>0.35180457590066205</v>
      </c>
    </row>
    <row r="918" spans="19:21" x14ac:dyDescent="0.25">
      <c r="S918" s="11">
        <v>900</v>
      </c>
      <c r="T918" s="4">
        <v>78.791953299289787</v>
      </c>
      <c r="U918" s="7">
        <v>-0.20820065019304812</v>
      </c>
    </row>
    <row r="919" spans="19:21" x14ac:dyDescent="0.25">
      <c r="S919" s="11">
        <v>901</v>
      </c>
      <c r="T919" s="4">
        <v>120.37023149502369</v>
      </c>
      <c r="U919" s="7">
        <v>0.20962949949777587</v>
      </c>
    </row>
    <row r="920" spans="19:21" x14ac:dyDescent="0.25">
      <c r="S920" s="11">
        <v>902</v>
      </c>
      <c r="T920" s="4">
        <v>70.338196918736998</v>
      </c>
      <c r="U920" s="7">
        <v>-0.29315448780286413</v>
      </c>
    </row>
    <row r="921" spans="19:21" x14ac:dyDescent="0.25">
      <c r="S921" s="11">
        <v>903</v>
      </c>
      <c r="T921" s="4">
        <v>110.96645697798115</v>
      </c>
      <c r="U921" s="7">
        <v>0.11512870041182954</v>
      </c>
    </row>
    <row r="922" spans="19:21" x14ac:dyDescent="0.25">
      <c r="S922" s="11">
        <v>904</v>
      </c>
      <c r="T922" s="4">
        <v>94.544955272583536</v>
      </c>
      <c r="U922" s="7">
        <v>-4.9894932443136031E-2</v>
      </c>
    </row>
    <row r="923" spans="19:21" x14ac:dyDescent="0.25">
      <c r="S923" s="11">
        <v>905</v>
      </c>
      <c r="T923" s="4">
        <v>132.16569072287658</v>
      </c>
      <c r="U923" s="7">
        <v>0.32816491531380332</v>
      </c>
    </row>
    <row r="924" spans="19:21" x14ac:dyDescent="0.25">
      <c r="S924" s="11">
        <v>906</v>
      </c>
      <c r="T924" s="4">
        <v>92.787868257910517</v>
      </c>
      <c r="U924" s="7">
        <v>-6.7552323807551828E-2</v>
      </c>
    </row>
    <row r="925" spans="19:21" x14ac:dyDescent="0.25">
      <c r="S925" s="11">
        <v>907</v>
      </c>
      <c r="T925" s="4">
        <v>99.149214836608337</v>
      </c>
      <c r="U925" s="7">
        <v>-3.6256171579908125E-3</v>
      </c>
    </row>
    <row r="926" spans="19:21" x14ac:dyDescent="0.25">
      <c r="S926" s="11">
        <v>908</v>
      </c>
      <c r="T926" s="4">
        <v>138.99133980405855</v>
      </c>
      <c r="U926" s="7">
        <v>0.39675750983879565</v>
      </c>
    </row>
    <row r="927" spans="19:21" x14ac:dyDescent="0.25">
      <c r="S927" s="11">
        <v>909</v>
      </c>
      <c r="T927" s="4">
        <v>207.0004080575726</v>
      </c>
      <c r="U927" s="7">
        <v>1.0801970461016239</v>
      </c>
    </row>
    <row r="928" spans="19:21" x14ac:dyDescent="0.25">
      <c r="S928" s="11">
        <v>910</v>
      </c>
      <c r="T928" s="4">
        <v>127.75047461252714</v>
      </c>
      <c r="U928" s="7">
        <v>0.28379534330747802</v>
      </c>
    </row>
    <row r="929" spans="19:21" x14ac:dyDescent="0.25">
      <c r="S929" s="11">
        <v>911</v>
      </c>
      <c r="T929" s="4">
        <v>150.6388421194271</v>
      </c>
      <c r="U929" s="7">
        <v>0.51380607094188613</v>
      </c>
    </row>
    <row r="930" spans="19:21" x14ac:dyDescent="0.25">
      <c r="S930" s="11">
        <v>912</v>
      </c>
      <c r="T930" s="4">
        <v>232.53362876115088</v>
      </c>
      <c r="U930" s="7">
        <v>1.3367865416656706</v>
      </c>
    </row>
    <row r="931" spans="19:21" x14ac:dyDescent="0.25">
      <c r="S931" s="11">
        <v>913</v>
      </c>
      <c r="T931" s="4">
        <v>118.89695629641562</v>
      </c>
      <c r="U931" s="7">
        <v>0.19482420155175983</v>
      </c>
    </row>
    <row r="932" spans="19:21" x14ac:dyDescent="0.25">
      <c r="S932" s="11">
        <v>914</v>
      </c>
      <c r="T932" s="4">
        <v>109.32969704120896</v>
      </c>
      <c r="U932" s="7">
        <v>9.8680504886031084E-2</v>
      </c>
    </row>
    <row r="933" spans="19:21" x14ac:dyDescent="0.25">
      <c r="S933" s="11">
        <v>915</v>
      </c>
      <c r="T933" s="4">
        <v>73.293669242396277</v>
      </c>
      <c r="U933" s="7">
        <v>-0.26345423331930184</v>
      </c>
    </row>
    <row r="934" spans="19:21" x14ac:dyDescent="0.25">
      <c r="S934" s="11">
        <v>916</v>
      </c>
      <c r="T934" s="4">
        <v>180.45900301486503</v>
      </c>
      <c r="U934" s="7">
        <v>0.81347606285664775</v>
      </c>
    </row>
    <row r="935" spans="19:21" x14ac:dyDescent="0.25">
      <c r="S935" s="11">
        <v>917</v>
      </c>
      <c r="T935" s="4">
        <v>84.561624686888479</v>
      </c>
      <c r="U935" s="7">
        <v>-0.15021983029958319</v>
      </c>
    </row>
    <row r="936" spans="19:21" x14ac:dyDescent="0.25">
      <c r="S936" s="11">
        <v>918</v>
      </c>
      <c r="T936" s="4">
        <v>154.5039987594316</v>
      </c>
      <c r="U936" s="7">
        <v>0.55264796261111027</v>
      </c>
    </row>
    <row r="937" spans="19:21" x14ac:dyDescent="0.25">
      <c r="S937" s="11">
        <v>919</v>
      </c>
      <c r="T937" s="4">
        <v>133.0908449640778</v>
      </c>
      <c r="U937" s="7">
        <v>0.33746201350696214</v>
      </c>
    </row>
    <row r="938" spans="19:21" x14ac:dyDescent="0.25">
      <c r="S938" s="11">
        <v>920</v>
      </c>
      <c r="T938" s="4">
        <v>112.50419013021762</v>
      </c>
      <c r="U938" s="7">
        <v>0.13058175188641963</v>
      </c>
    </row>
    <row r="939" spans="19:21" x14ac:dyDescent="0.25">
      <c r="S939" s="11">
        <v>921</v>
      </c>
      <c r="T939" s="4">
        <v>89.587260630010249</v>
      </c>
      <c r="U939" s="7">
        <v>-9.9716002110237678E-2</v>
      </c>
    </row>
    <row r="940" spans="19:21" x14ac:dyDescent="0.25">
      <c r="S940" s="11">
        <v>922</v>
      </c>
      <c r="T940" s="4">
        <v>109.00939641016041</v>
      </c>
      <c r="U940" s="7">
        <v>9.5461726561756555E-2</v>
      </c>
    </row>
    <row r="941" spans="19:21" x14ac:dyDescent="0.25">
      <c r="S941" s="11">
        <v>923</v>
      </c>
      <c r="T941" s="4">
        <v>174.21716751739854</v>
      </c>
      <c r="U941" s="7">
        <v>0.75075035189828698</v>
      </c>
    </row>
    <row r="942" spans="19:21" x14ac:dyDescent="0.25">
      <c r="S942" s="11">
        <v>924</v>
      </c>
      <c r="T942" s="4">
        <v>128.25257110112085</v>
      </c>
      <c r="U942" s="7">
        <v>0.28884103206834322</v>
      </c>
    </row>
    <row r="943" spans="19:21" x14ac:dyDescent="0.25">
      <c r="S943" s="11">
        <v>925</v>
      </c>
      <c r="T943" s="4">
        <v>133.88399424201512</v>
      </c>
      <c r="U943" s="7">
        <v>0.34543256197382277</v>
      </c>
    </row>
    <row r="944" spans="19:21" x14ac:dyDescent="0.25">
      <c r="S944" s="11">
        <v>926</v>
      </c>
      <c r="T944" s="4">
        <v>138.13058244773714</v>
      </c>
      <c r="U944" s="7">
        <v>0.3881075514796215</v>
      </c>
    </row>
    <row r="945" spans="19:21" x14ac:dyDescent="0.25">
      <c r="S945" s="11">
        <v>927</v>
      </c>
      <c r="T945" s="4">
        <v>107.64488731277753</v>
      </c>
      <c r="U945" s="7">
        <v>8.1749445410285615E-2</v>
      </c>
    </row>
    <row r="946" spans="19:21" x14ac:dyDescent="0.25">
      <c r="S946" s="11">
        <v>928</v>
      </c>
      <c r="T946" s="4">
        <v>154.79520004070827</v>
      </c>
      <c r="U946" s="7">
        <v>0.55557431454836959</v>
      </c>
    </row>
    <row r="947" spans="19:21" x14ac:dyDescent="0.25">
      <c r="S947" s="11">
        <v>929</v>
      </c>
      <c r="T947" s="4">
        <v>99.331650685200103</v>
      </c>
      <c r="U947" s="7">
        <v>-1.7922752969541378E-3</v>
      </c>
    </row>
    <row r="948" spans="19:21" x14ac:dyDescent="0.25">
      <c r="S948" s="11">
        <v>930</v>
      </c>
      <c r="T948" s="4">
        <v>83.849884384942669</v>
      </c>
      <c r="U948" s="7">
        <v>-0.15737228032416173</v>
      </c>
    </row>
    <row r="949" spans="19:21" x14ac:dyDescent="0.25">
      <c r="S949" s="11">
        <v>931</v>
      </c>
      <c r="T949" s="4">
        <v>98.67809755745381</v>
      </c>
      <c r="U949" s="7">
        <v>-8.3599883684674081E-3</v>
      </c>
    </row>
    <row r="950" spans="19:21" x14ac:dyDescent="0.25">
      <c r="S950" s="11">
        <v>932</v>
      </c>
      <c r="T950" s="4">
        <v>111.146059484643</v>
      </c>
      <c r="U950" s="7">
        <v>0.11693356933617727</v>
      </c>
    </row>
    <row r="951" spans="19:21" x14ac:dyDescent="0.25">
      <c r="S951" s="11">
        <v>933</v>
      </c>
      <c r="T951" s="4">
        <v>126.74604836424187</v>
      </c>
      <c r="U951" s="7">
        <v>0.27370162158820088</v>
      </c>
    </row>
    <row r="952" spans="19:21" x14ac:dyDescent="0.25">
      <c r="S952" s="11">
        <v>934</v>
      </c>
      <c r="T952" s="4">
        <v>147.40170375645383</v>
      </c>
      <c r="U952" s="7">
        <v>0.48127528646823259</v>
      </c>
    </row>
    <row r="953" spans="19:21" x14ac:dyDescent="0.25">
      <c r="S953" s="11">
        <v>935</v>
      </c>
      <c r="T953" s="4">
        <v>165.08096413133978</v>
      </c>
      <c r="U953" s="7">
        <v>0.65893843966776977</v>
      </c>
    </row>
    <row r="954" spans="19:21" x14ac:dyDescent="0.25">
      <c r="S954" s="11">
        <v>936</v>
      </c>
      <c r="T954" s="4">
        <v>139.42559621177742</v>
      </c>
      <c r="U954" s="7">
        <v>0.40112145725833992</v>
      </c>
    </row>
    <row r="955" spans="19:21" x14ac:dyDescent="0.25">
      <c r="S955" s="11">
        <v>937</v>
      </c>
      <c r="T955" s="4">
        <v>111.76556629930948</v>
      </c>
      <c r="U955" s="7">
        <v>0.1231591427927794</v>
      </c>
    </row>
    <row r="956" spans="19:21" x14ac:dyDescent="0.25">
      <c r="S956" s="11">
        <v>938</v>
      </c>
      <c r="T956" s="4">
        <v>176.42370946578561</v>
      </c>
      <c r="U956" s="7">
        <v>0.77292442433710784</v>
      </c>
    </row>
    <row r="957" spans="19:21" x14ac:dyDescent="0.25">
      <c r="S957" s="11">
        <v>939</v>
      </c>
      <c r="T957" s="4">
        <v>169.2821941484473</v>
      </c>
      <c r="U957" s="7">
        <v>0.7011576137920541</v>
      </c>
    </row>
    <row r="958" spans="19:21" x14ac:dyDescent="0.25">
      <c r="S958" s="11">
        <v>940</v>
      </c>
      <c r="T958" s="4">
        <v>210.58499801709516</v>
      </c>
      <c r="U958" s="7">
        <v>1.1162194555029159</v>
      </c>
    </row>
    <row r="959" spans="19:21" x14ac:dyDescent="0.25">
      <c r="S959" s="11">
        <v>941</v>
      </c>
      <c r="T959" s="4">
        <v>106.70731862367019</v>
      </c>
      <c r="U959" s="7">
        <v>7.2327591434732108E-2</v>
      </c>
    </row>
    <row r="960" spans="19:21" x14ac:dyDescent="0.25">
      <c r="S960" s="11">
        <v>942</v>
      </c>
      <c r="T960" s="4">
        <v>66.050414794379634</v>
      </c>
      <c r="U960" s="7">
        <v>-0.33624344493639202</v>
      </c>
    </row>
    <row r="961" spans="19:21" x14ac:dyDescent="0.25">
      <c r="S961" s="11">
        <v>943</v>
      </c>
      <c r="T961" s="4">
        <v>154.09046295520071</v>
      </c>
      <c r="U961" s="7">
        <v>0.54849224153553111</v>
      </c>
    </row>
    <row r="962" spans="19:21" x14ac:dyDescent="0.25">
      <c r="S962" s="11">
        <v>944</v>
      </c>
      <c r="T962" s="4">
        <v>177.00707791346866</v>
      </c>
      <c r="U962" s="7">
        <v>0.77878683462434584</v>
      </c>
    </row>
    <row r="963" spans="19:21" x14ac:dyDescent="0.25">
      <c r="S963" s="11">
        <v>945</v>
      </c>
      <c r="T963" s="4">
        <v>182.10346158601283</v>
      </c>
      <c r="U963" s="7">
        <v>0.83000162381683062</v>
      </c>
    </row>
    <row r="964" spans="19:21" x14ac:dyDescent="0.25">
      <c r="S964" s="11">
        <v>946</v>
      </c>
      <c r="T964" s="4">
        <v>110.3147438916136</v>
      </c>
      <c r="U964" s="7">
        <v>0.1085794783601004</v>
      </c>
    </row>
    <row r="965" spans="19:21" x14ac:dyDescent="0.25">
      <c r="S965" s="11">
        <v>947</v>
      </c>
      <c r="T965" s="4">
        <v>114.99771534779077</v>
      </c>
      <c r="U965" s="7">
        <v>0.15563978844126991</v>
      </c>
    </row>
    <row r="966" spans="19:21" x14ac:dyDescent="0.25">
      <c r="S966" s="11">
        <v>948</v>
      </c>
      <c r="T966" s="4">
        <v>88.535907123105602</v>
      </c>
      <c r="U966" s="7">
        <v>-0.11028130717409712</v>
      </c>
    </row>
    <row r="967" spans="19:21" x14ac:dyDescent="0.25">
      <c r="S967" s="11">
        <v>949</v>
      </c>
      <c r="T967" s="4">
        <v>113.35477877272329</v>
      </c>
      <c r="U967" s="7">
        <v>0.13912952238692888</v>
      </c>
    </row>
    <row r="968" spans="19:21" x14ac:dyDescent="0.25">
      <c r="S968" s="11">
        <v>950</v>
      </c>
      <c r="T968" s="4">
        <v>91.788990372699729</v>
      </c>
      <c r="U968" s="7">
        <v>-7.7590288687571896E-2</v>
      </c>
    </row>
    <row r="969" spans="19:21" x14ac:dyDescent="0.25">
      <c r="S969" s="11">
        <v>951</v>
      </c>
      <c r="T969" s="4">
        <v>200.49280655854852</v>
      </c>
      <c r="U969" s="7">
        <v>1.014800588468983</v>
      </c>
    </row>
    <row r="970" spans="19:21" x14ac:dyDescent="0.25">
      <c r="S970" s="11">
        <v>952</v>
      </c>
      <c r="T970" s="4">
        <v>173.92603503052086</v>
      </c>
      <c r="U970" s="7">
        <v>0.74782469129254192</v>
      </c>
    </row>
    <row r="971" spans="19:21" x14ac:dyDescent="0.25">
      <c r="S971" s="11">
        <v>953</v>
      </c>
      <c r="T971" s="4">
        <v>108.88339797964507</v>
      </c>
      <c r="U971" s="7">
        <v>9.419553793231894E-2</v>
      </c>
    </row>
    <row r="972" spans="19:21" x14ac:dyDescent="0.25">
      <c r="S972" s="11">
        <v>954</v>
      </c>
      <c r="T972" s="4">
        <v>208.03078969235162</v>
      </c>
      <c r="U972" s="7">
        <v>1.0905515997623514</v>
      </c>
    </row>
    <row r="973" spans="19:21" x14ac:dyDescent="0.25">
      <c r="S973" s="11">
        <v>955</v>
      </c>
      <c r="T973" s="4">
        <v>145.47849930775376</v>
      </c>
      <c r="U973" s="7">
        <v>0.46194854092808524</v>
      </c>
    </row>
    <row r="974" spans="19:21" x14ac:dyDescent="0.25">
      <c r="S974" s="11">
        <v>956</v>
      </c>
      <c r="T974" s="4">
        <v>142.71935799852403</v>
      </c>
      <c r="U974" s="7">
        <v>0.43422126417972096</v>
      </c>
    </row>
    <row r="975" spans="19:21" x14ac:dyDescent="0.25">
      <c r="S975" s="11">
        <v>957</v>
      </c>
      <c r="T975" s="4">
        <v>119.41830562994193</v>
      </c>
      <c r="U975" s="7">
        <v>0.2000633667967231</v>
      </c>
    </row>
    <row r="976" spans="19:21" x14ac:dyDescent="0.25">
      <c r="S976" s="11">
        <v>958</v>
      </c>
      <c r="T976" s="4">
        <v>89.092134494734694</v>
      </c>
      <c r="U976" s="7">
        <v>-0.10469164410878617</v>
      </c>
    </row>
    <row r="977" spans="19:21" x14ac:dyDescent="0.25">
      <c r="S977" s="11">
        <v>959</v>
      </c>
      <c r="T977" s="4">
        <v>162.87481674074235</v>
      </c>
      <c r="U977" s="7">
        <v>0.63676833223537677</v>
      </c>
    </row>
    <row r="978" spans="19:21" x14ac:dyDescent="0.25">
      <c r="S978" s="11">
        <v>960</v>
      </c>
      <c r="T978" s="4">
        <v>163.52480353455763</v>
      </c>
      <c r="U978" s="7">
        <v>0.64330020635672414</v>
      </c>
    </row>
    <row r="979" spans="19:21" x14ac:dyDescent="0.25">
      <c r="S979" s="11">
        <v>961</v>
      </c>
      <c r="T979" s="4">
        <v>148.70978900361752</v>
      </c>
      <c r="U979" s="7">
        <v>0.49442055073477542</v>
      </c>
    </row>
    <row r="980" spans="19:21" x14ac:dyDescent="0.25">
      <c r="S980" s="11">
        <v>962</v>
      </c>
      <c r="T980" s="4">
        <v>110.61584176120959</v>
      </c>
      <c r="U980" s="7">
        <v>0.11160528350125198</v>
      </c>
    </row>
    <row r="981" spans="19:21" x14ac:dyDescent="0.25">
      <c r="S981" s="11">
        <v>963</v>
      </c>
      <c r="T981" s="4">
        <v>117.15997930759708</v>
      </c>
      <c r="U981" s="7">
        <v>0.17736890068934863</v>
      </c>
    </row>
    <row r="982" spans="19:21" x14ac:dyDescent="0.25">
      <c r="S982" s="11">
        <v>964</v>
      </c>
      <c r="T982" s="4">
        <v>75.795609680766631</v>
      </c>
      <c r="U982" s="7">
        <v>-0.23831163018021684</v>
      </c>
    </row>
    <row r="983" spans="19:21" x14ac:dyDescent="0.25">
      <c r="S983" s="11">
        <v>965</v>
      </c>
      <c r="T983" s="4">
        <v>122.35178123929727</v>
      </c>
      <c r="U983" s="7">
        <v>0.22954257099082764</v>
      </c>
    </row>
    <row r="984" spans="19:21" x14ac:dyDescent="0.25">
      <c r="S984" s="11">
        <v>966</v>
      </c>
      <c r="T984" s="4">
        <v>104.06546706472659</v>
      </c>
      <c r="U984" s="7">
        <v>4.5778987686931893E-2</v>
      </c>
    </row>
    <row r="985" spans="19:21" x14ac:dyDescent="0.25">
      <c r="S985" s="11">
        <v>967</v>
      </c>
      <c r="T985" s="4">
        <v>123.81197388918028</v>
      </c>
      <c r="U985" s="7">
        <v>0.24421639924811855</v>
      </c>
    </row>
    <row r="986" spans="19:21" x14ac:dyDescent="0.25">
      <c r="S986" s="11">
        <v>968</v>
      </c>
      <c r="T986" s="4">
        <v>138.40937976865962</v>
      </c>
      <c r="U986" s="7">
        <v>0.39090925302642554</v>
      </c>
    </row>
    <row r="987" spans="19:21" x14ac:dyDescent="0.25">
      <c r="S987" s="11">
        <v>969</v>
      </c>
      <c r="T987" s="4">
        <v>139.44914763940517</v>
      </c>
      <c r="U987" s="7">
        <v>0.4013581312371135</v>
      </c>
    </row>
    <row r="988" spans="19:21" x14ac:dyDescent="0.25">
      <c r="S988" s="11">
        <v>970</v>
      </c>
      <c r="T988" s="4">
        <v>109.67319258538373</v>
      </c>
      <c r="U988" s="7">
        <v>0.1021323744888325</v>
      </c>
    </row>
    <row r="989" spans="19:21" x14ac:dyDescent="0.25">
      <c r="S989" s="11">
        <v>971</v>
      </c>
      <c r="T989" s="4">
        <v>171.03706272841677</v>
      </c>
      <c r="U989" s="7">
        <v>0.71879271157086477</v>
      </c>
    </row>
    <row r="990" spans="19:21" x14ac:dyDescent="0.25">
      <c r="S990" s="11">
        <v>972</v>
      </c>
      <c r="T990" s="4">
        <v>222.51978926581796</v>
      </c>
      <c r="U990" s="7">
        <v>1.2361550524150129</v>
      </c>
    </row>
    <row r="991" spans="19:21" x14ac:dyDescent="0.25">
      <c r="S991" s="11">
        <v>973</v>
      </c>
      <c r="T991" s="4">
        <v>146.54746631824037</v>
      </c>
      <c r="U991" s="7">
        <v>0.472690848339266</v>
      </c>
    </row>
    <row r="992" spans="19:21" x14ac:dyDescent="0.25">
      <c r="S992" s="11">
        <v>974</v>
      </c>
      <c r="T992" s="4">
        <v>223.36081853120788</v>
      </c>
      <c r="U992" s="7">
        <v>1.244606758428378</v>
      </c>
    </row>
    <row r="993" spans="19:21" x14ac:dyDescent="0.25">
      <c r="S993" s="11">
        <v>975</v>
      </c>
      <c r="T993" s="4">
        <v>310.70237555672986</v>
      </c>
      <c r="U993" s="7">
        <v>2.1223231389481443</v>
      </c>
    </row>
    <row r="994" spans="19:21" x14ac:dyDescent="0.25">
      <c r="S994" s="11">
        <v>976</v>
      </c>
      <c r="T994" s="4">
        <v>148.46217401950497</v>
      </c>
      <c r="U994" s="7">
        <v>0.49193220801431981</v>
      </c>
    </row>
    <row r="995" spans="19:21" x14ac:dyDescent="0.25">
      <c r="S995" s="11">
        <v>977</v>
      </c>
      <c r="T995" s="4">
        <v>93.245075323829141</v>
      </c>
      <c r="U995" s="7">
        <v>-6.295773968617091E-2</v>
      </c>
    </row>
    <row r="996" spans="19:21" x14ac:dyDescent="0.25">
      <c r="S996" s="11">
        <v>978</v>
      </c>
      <c r="T996" s="4">
        <v>145.1151221737523</v>
      </c>
      <c r="U996" s="7">
        <v>0.45829687643203987</v>
      </c>
    </row>
    <row r="997" spans="19:21" x14ac:dyDescent="0.25">
      <c r="S997" s="11">
        <v>979</v>
      </c>
      <c r="T997" s="4">
        <v>126.07021283389443</v>
      </c>
      <c r="U997" s="7">
        <v>0.26690998727659965</v>
      </c>
    </row>
    <row r="998" spans="19:21" x14ac:dyDescent="0.25">
      <c r="S998" s="11">
        <v>980</v>
      </c>
      <c r="T998" s="4">
        <v>252.98548509866714</v>
      </c>
      <c r="U998" s="7">
        <v>1.542312180671964</v>
      </c>
    </row>
    <row r="999" spans="19:21" x14ac:dyDescent="0.25">
      <c r="S999" s="11">
        <v>981</v>
      </c>
      <c r="T999" s="4">
        <v>147.20898594181205</v>
      </c>
      <c r="U999" s="7">
        <v>0.479338618649503</v>
      </c>
    </row>
    <row r="1000" spans="19:21" x14ac:dyDescent="0.25">
      <c r="S1000" s="11">
        <v>982</v>
      </c>
      <c r="T1000" s="4">
        <v>118.98353341593392</v>
      </c>
      <c r="U1000" s="7">
        <v>0.1956942359153242</v>
      </c>
    </row>
    <row r="1001" spans="19:21" x14ac:dyDescent="0.25">
      <c r="S1001" s="11">
        <v>983</v>
      </c>
      <c r="T1001" s="4">
        <v>108.5427176722189</v>
      </c>
      <c r="U1001" s="7">
        <v>9.0771959322871076E-2</v>
      </c>
    </row>
    <row r="1002" spans="19:21" x14ac:dyDescent="0.25">
      <c r="S1002" s="11">
        <v>984</v>
      </c>
      <c r="T1002" s="4">
        <v>124.86670816217736</v>
      </c>
      <c r="U1002" s="7">
        <v>0.25481567844615971</v>
      </c>
    </row>
    <row r="1003" spans="19:21" x14ac:dyDescent="0.25">
      <c r="S1003" s="11">
        <v>985</v>
      </c>
      <c r="T1003" s="4">
        <v>117.71670917075619</v>
      </c>
      <c r="U1003" s="7">
        <v>0.18296361341328704</v>
      </c>
    </row>
    <row r="1004" spans="19:21" x14ac:dyDescent="0.25">
      <c r="S1004" s="11">
        <v>986</v>
      </c>
      <c r="T1004" s="4">
        <v>104.97287504670888</v>
      </c>
      <c r="U1004" s="7">
        <v>5.4897749439341448E-2</v>
      </c>
    </row>
    <row r="1005" spans="19:21" x14ac:dyDescent="0.25">
      <c r="S1005" s="11">
        <v>987</v>
      </c>
      <c r="T1005" s="4">
        <v>115.31785927574398</v>
      </c>
      <c r="U1005" s="7">
        <v>0.15885699201832959</v>
      </c>
    </row>
    <row r="1006" spans="19:21" x14ac:dyDescent="0.25">
      <c r="S1006" s="11">
        <v>988</v>
      </c>
      <c r="T1006" s="4">
        <v>159.56083214368843</v>
      </c>
      <c r="U1006" s="7">
        <v>0.60346530141381183</v>
      </c>
    </row>
    <row r="1007" spans="19:21" x14ac:dyDescent="0.25">
      <c r="S1007" s="11">
        <v>989</v>
      </c>
      <c r="T1007" s="4">
        <v>122.54344256777598</v>
      </c>
      <c r="U1007" s="7">
        <v>0.23146862192519313</v>
      </c>
    </row>
    <row r="1008" spans="19:21" x14ac:dyDescent="0.25">
      <c r="S1008" s="11">
        <v>990</v>
      </c>
      <c r="T1008" s="4">
        <v>171.38409091127954</v>
      </c>
      <c r="U1008" s="7">
        <v>0.72228008151220524</v>
      </c>
    </row>
    <row r="1009" spans="19:21" x14ac:dyDescent="0.25">
      <c r="S1009" s="11">
        <v>991</v>
      </c>
      <c r="T1009" s="4">
        <v>104.65981624576362</v>
      </c>
      <c r="U1009" s="7">
        <v>5.1751746013100286E-2</v>
      </c>
    </row>
    <row r="1010" spans="19:21" x14ac:dyDescent="0.25">
      <c r="S1010" s="11">
        <v>992</v>
      </c>
      <c r="T1010" s="4">
        <v>173.39691920804196</v>
      </c>
      <c r="U1010" s="7">
        <v>0.74250747872617784</v>
      </c>
    </row>
    <row r="1011" spans="19:21" x14ac:dyDescent="0.25">
      <c r="S1011" s="11">
        <v>993</v>
      </c>
      <c r="T1011" s="4">
        <v>125.80257799203537</v>
      </c>
      <c r="U1011" s="7">
        <v>0.26422046017521206</v>
      </c>
    </row>
    <row r="1012" spans="19:21" x14ac:dyDescent="0.25">
      <c r="S1012" s="11">
        <v>994</v>
      </c>
      <c r="T1012" s="4">
        <v>128.35809459981951</v>
      </c>
      <c r="U1012" s="7">
        <v>0.28990146316771681</v>
      </c>
    </row>
    <row r="1013" spans="19:21" x14ac:dyDescent="0.25">
      <c r="S1013" s="11">
        <v>995</v>
      </c>
      <c r="T1013" s="4">
        <v>117.25134172044612</v>
      </c>
      <c r="U1013" s="7">
        <v>0.1782870236202001</v>
      </c>
    </row>
    <row r="1014" spans="19:21" x14ac:dyDescent="0.25">
      <c r="S1014" s="11">
        <v>996</v>
      </c>
      <c r="T1014" s="4">
        <v>142.26527857353986</v>
      </c>
      <c r="U1014" s="7">
        <v>0.42965811047673452</v>
      </c>
    </row>
    <row r="1015" spans="19:21" x14ac:dyDescent="0.25">
      <c r="S1015" s="11">
        <v>997</v>
      </c>
      <c r="T1015" s="4">
        <v>107.13727024692761</v>
      </c>
      <c r="U1015" s="7">
        <v>7.6648279036555245E-2</v>
      </c>
    </row>
    <row r="1016" spans="19:21" x14ac:dyDescent="0.25">
      <c r="S1016" s="11">
        <v>998</v>
      </c>
      <c r="T1016" s="4">
        <v>77.042034661427266</v>
      </c>
      <c r="U1016" s="7">
        <v>-0.2257860048092929</v>
      </c>
    </row>
    <row r="1017" spans="19:21" x14ac:dyDescent="0.25">
      <c r="S1017" s="11">
        <v>999</v>
      </c>
      <c r="T1017" s="4">
        <v>116.40844747371925</v>
      </c>
      <c r="U1017" s="7">
        <v>0.16981657595939348</v>
      </c>
    </row>
    <row r="1018" spans="19:21" x14ac:dyDescent="0.25">
      <c r="S1018" s="11">
        <v>1000</v>
      </c>
      <c r="T1018" s="4">
        <v>106.85639541440861</v>
      </c>
      <c r="U1018" s="7">
        <v>7.3825700074450884E-2</v>
      </c>
    </row>
  </sheetData>
  <sheetProtection sheet="1" objects="1" scenarios="1"/>
  <phoneticPr fontId="1" type="noConversion"/>
  <hyperlinks>
    <hyperlink ref="D2" location="TOC" display="Table of Contents" xr:uid="{EE585E53-6368-4CA8-A94C-DB26A3B2B161}"/>
  </hyperlinks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42D4B-EDC1-4341-8A2F-04BAA3609A74}">
  <sheetPr codeName="Sheet8">
    <tabColor theme="7" tint="0.39997558519241921"/>
  </sheetPr>
  <dimension ref="D2:U1018"/>
  <sheetViews>
    <sheetView showGridLines="0" workbookViewId="0"/>
  </sheetViews>
  <sheetFormatPr defaultRowHeight="15" x14ac:dyDescent="0.25"/>
  <cols>
    <col min="1" max="3" width="2.7109375" style="11" customWidth="1"/>
    <col min="4" max="4" width="17.42578125" style="11" bestFit="1" customWidth="1"/>
    <col min="5" max="5" width="13.7109375" style="11" customWidth="1"/>
    <col min="6" max="6" width="14" style="11" customWidth="1"/>
    <col min="7" max="7" width="13" style="11" customWidth="1"/>
    <col min="8" max="8" width="17.42578125" style="11" bestFit="1" customWidth="1"/>
    <col min="9" max="11" width="2" style="11" customWidth="1"/>
    <col min="12" max="12" width="9.140625" style="11"/>
    <col min="13" max="13" width="10" style="11" bestFit="1" customWidth="1"/>
    <col min="14" max="14" width="9.140625" style="11"/>
    <col min="15" max="15" width="13.85546875" style="11" bestFit="1" customWidth="1"/>
    <col min="16" max="16" width="9.140625" style="11"/>
    <col min="17" max="18" width="2" style="11" customWidth="1"/>
    <col min="19" max="20" width="9.28515625" style="11" customWidth="1"/>
    <col min="21" max="21" width="13.85546875" style="11" bestFit="1" customWidth="1"/>
    <col min="22" max="16384" width="9.140625" style="11"/>
  </cols>
  <sheetData>
    <row r="2" spans="4:19" x14ac:dyDescent="0.25">
      <c r="D2" s="54" t="s">
        <v>64</v>
      </c>
    </row>
    <row r="4" spans="4:19" ht="18.75" x14ac:dyDescent="0.3">
      <c r="D4" s="64" t="str">
        <f ca="1">MID(CELL("filename",A1),FIND("]",CELL("filename",A1))+1,255)</f>
        <v>XLV</v>
      </c>
    </row>
    <row r="6" spans="4:19" x14ac:dyDescent="0.25">
      <c r="D6" s="40" t="s">
        <v>21</v>
      </c>
      <c r="E6" s="40"/>
      <c r="F6" s="40"/>
      <c r="G6" s="40"/>
      <c r="H6" s="40"/>
      <c r="L6" s="40" t="s">
        <v>25</v>
      </c>
      <c r="M6" s="43"/>
      <c r="N6" s="40" t="s">
        <v>12</v>
      </c>
      <c r="O6" s="40" t="s">
        <v>13</v>
      </c>
    </row>
    <row r="7" spans="4:19" x14ac:dyDescent="0.25">
      <c r="D7" s="11" t="s">
        <v>24</v>
      </c>
      <c r="H7" s="80">
        <f>Assumptions!F19</f>
        <v>12</v>
      </c>
      <c r="L7" s="11" t="s">
        <v>14</v>
      </c>
      <c r="N7" s="4">
        <f>AVERAGE(T19:T1018)</f>
        <v>156.54077265148271</v>
      </c>
      <c r="O7" s="7">
        <f>AVERAGE(U19:U1018)</f>
        <v>0.16760477848498972</v>
      </c>
    </row>
    <row r="8" spans="4:19" x14ac:dyDescent="0.25">
      <c r="D8" s="11" t="s">
        <v>15</v>
      </c>
      <c r="H8" s="48">
        <f>MAX(S19:S2018)</f>
        <v>1000</v>
      </c>
      <c r="L8" s="11" t="s">
        <v>30</v>
      </c>
      <c r="N8" s="4">
        <f>MIN($T$19:$T$1018)</f>
        <v>103.72615959340892</v>
      </c>
      <c r="O8" s="7">
        <f>MIN($U$19:$U$1018)</f>
        <v>-0.22632833897658744</v>
      </c>
    </row>
    <row r="9" spans="4:19" x14ac:dyDescent="0.25">
      <c r="D9" s="41" t="s">
        <v>16</v>
      </c>
      <c r="G9" s="45">
        <v>44578</v>
      </c>
      <c r="H9" s="38">
        <v>134.07</v>
      </c>
      <c r="L9" s="11" t="s">
        <v>31</v>
      </c>
      <c r="N9" s="4">
        <f>MAX($T$19:$T$1018)</f>
        <v>253.3767893784829</v>
      </c>
      <c r="O9" s="7">
        <f>MAX($U$19:$U$1018)</f>
        <v>0.88988430952847697</v>
      </c>
    </row>
    <row r="10" spans="4:19" x14ac:dyDescent="0.25">
      <c r="D10" s="11" t="s">
        <v>19</v>
      </c>
      <c r="H10" s="46">
        <v>0</v>
      </c>
      <c r="L10" s="11" t="s">
        <v>27</v>
      </c>
      <c r="N10" s="4">
        <f>_xlfn.STDEV.S(T19:T1018)</f>
        <v>23.779694571054065</v>
      </c>
      <c r="O10" s="7">
        <f>_xlfn.STDEV.S(U19:U1018)</f>
        <v>0.17736775245062733</v>
      </c>
    </row>
    <row r="12" spans="4:19" x14ac:dyDescent="0.25">
      <c r="D12" s="11" t="s">
        <v>22</v>
      </c>
      <c r="H12" s="4">
        <f>IF(H10&gt;0,H9*(1-H10),H9)</f>
        <v>134.07</v>
      </c>
      <c r="L12" s="11" t="s">
        <v>28</v>
      </c>
      <c r="O12" s="49">
        <f>COUNTIF($U$19:$U$1018,"&gt;0")/$H$8</f>
        <v>0.81399999999999995</v>
      </c>
    </row>
    <row r="13" spans="4:19" x14ac:dyDescent="0.25">
      <c r="D13" s="11" t="s">
        <v>23</v>
      </c>
      <c r="H13" s="4">
        <f ca="1">P29</f>
        <v>213.98157477468456</v>
      </c>
      <c r="L13" s="11" t="s">
        <v>29</v>
      </c>
      <c r="O13" s="49">
        <f>COUNTIF($U$19:$U$1018,"&lt;0")/$H$8</f>
        <v>0.186</v>
      </c>
    </row>
    <row r="14" spans="4:19" x14ac:dyDescent="0.25">
      <c r="D14" s="41" t="s">
        <v>36</v>
      </c>
      <c r="H14" s="4">
        <f ca="1">IF(H10&lt;0,H13+(H10*H9),H13)</f>
        <v>213.98157477468456</v>
      </c>
    </row>
    <row r="16" spans="4:19" x14ac:dyDescent="0.25">
      <c r="L16" s="20" t="s">
        <v>20</v>
      </c>
      <c r="S16" s="20" t="s">
        <v>35</v>
      </c>
    </row>
    <row r="17" spans="4:21" x14ac:dyDescent="0.25">
      <c r="D17" s="47" t="s">
        <v>0</v>
      </c>
      <c r="E17" s="47" t="s">
        <v>10</v>
      </c>
      <c r="F17" s="47" t="s">
        <v>1</v>
      </c>
      <c r="G17" s="47" t="s">
        <v>2</v>
      </c>
      <c r="H17" s="47" t="s">
        <v>3</v>
      </c>
      <c r="L17" s="51" t="s">
        <v>9</v>
      </c>
      <c r="M17" s="52" t="s">
        <v>17</v>
      </c>
      <c r="N17" s="52" t="s">
        <v>10</v>
      </c>
      <c r="O17" s="52" t="s">
        <v>11</v>
      </c>
      <c r="P17" s="52" t="s">
        <v>18</v>
      </c>
      <c r="R17" s="32"/>
      <c r="S17" s="52" t="s">
        <v>26</v>
      </c>
      <c r="T17" s="52" t="s">
        <v>12</v>
      </c>
      <c r="U17" s="52" t="s">
        <v>13</v>
      </c>
    </row>
    <row r="18" spans="4:21" x14ac:dyDescent="0.25">
      <c r="D18" s="47" t="s">
        <v>8</v>
      </c>
      <c r="E18" s="47">
        <v>1</v>
      </c>
      <c r="F18" s="25">
        <v>44562</v>
      </c>
      <c r="G18" s="23">
        <v>136.81</v>
      </c>
      <c r="H18" s="34">
        <v>-2.5226824822978888E-2</v>
      </c>
      <c r="L18" s="11">
        <v>1</v>
      </c>
      <c r="M18" s="4">
        <f>H12</f>
        <v>134.07</v>
      </c>
      <c r="N18" s="1">
        <f ca="1">RANDBETWEEN(1,MAX(XLV[Scenario]))</f>
        <v>46</v>
      </c>
      <c r="O18" s="7">
        <f ca="1">INDEX(XLV[Monthly Return],MATCH(N18,XLV[Scenario],0))</f>
        <v>1.4115802028215718E-2</v>
      </c>
      <c r="P18" s="4">
        <f ca="1">(1+O18)*M18</f>
        <v>135.96250557792288</v>
      </c>
      <c r="S18" s="32"/>
      <c r="T18" s="6">
        <f ca="1">$H$14</f>
        <v>213.98157477468456</v>
      </c>
      <c r="U18" s="53">
        <f ca="1">$H$14/$H$12-1</f>
        <v>0.59604366953594812</v>
      </c>
    </row>
    <row r="19" spans="4:21" x14ac:dyDescent="0.25">
      <c r="D19" s="47" t="s">
        <v>8</v>
      </c>
      <c r="E19" s="47">
        <v>2</v>
      </c>
      <c r="F19" s="25">
        <v>44531</v>
      </c>
      <c r="G19" s="23">
        <v>140.35059999999999</v>
      </c>
      <c r="H19" s="34">
        <v>8.6024201174000003E-2</v>
      </c>
      <c r="L19" s="11">
        <v>2</v>
      </c>
      <c r="M19" s="4">
        <f ca="1">P18</f>
        <v>135.96250557792288</v>
      </c>
      <c r="N19" s="1">
        <f ca="1">RANDBETWEEN(1,MAX(XLV[Scenario]))</f>
        <v>27</v>
      </c>
      <c r="O19" s="7">
        <f ca="1">INDEX(XLV[Monthly Return],MATCH(N19,XLV[Scenario],0))</f>
        <v>5.0025933581399951E-2</v>
      </c>
      <c r="P19" s="4">
        <f ca="1">(1+O19)*M19</f>
        <v>142.76415685152477</v>
      </c>
      <c r="S19" s="11">
        <v>1</v>
      </c>
      <c r="T19" s="4">
        <f t="dataTable" ref="T19:U1018" dt2D="0" dtr="0" r1="R17" ca="1"/>
        <v>188.64466591100913</v>
      </c>
      <c r="U19" s="7">
        <v>0.40706098240478217</v>
      </c>
    </row>
    <row r="20" spans="4:21" x14ac:dyDescent="0.25">
      <c r="D20" s="47" t="s">
        <v>8</v>
      </c>
      <c r="E20" s="47">
        <v>3</v>
      </c>
      <c r="F20" s="25">
        <v>44501</v>
      </c>
      <c r="G20" s="23">
        <v>129.23339999999999</v>
      </c>
      <c r="H20" s="34">
        <v>-3.0563125760927679E-2</v>
      </c>
      <c r="L20" s="11">
        <v>3</v>
      </c>
      <c r="M20" s="4">
        <f t="shared" ref="M20:M29" ca="1" si="0">P19</f>
        <v>142.76415685152477</v>
      </c>
      <c r="N20" s="1">
        <f ca="1">RANDBETWEEN(1,MAX(XLV[Scenario]))</f>
        <v>22</v>
      </c>
      <c r="O20" s="7">
        <f ca="1">INDEX(XLV[Monthly Return],MATCH(N20,XLV[Scenario],0))</f>
        <v>0.13133974888667965</v>
      </c>
      <c r="P20" s="4">
        <f t="shared" ref="P20:P29" ca="1" si="1">(1+O20)*M20</f>
        <v>161.51476536242259</v>
      </c>
      <c r="S20" s="11">
        <v>2</v>
      </c>
      <c r="T20" s="4">
        <v>164.36299678450797</v>
      </c>
      <c r="U20" s="7">
        <v>0.22594910706726323</v>
      </c>
    </row>
    <row r="21" spans="4:21" x14ac:dyDescent="0.25">
      <c r="D21" s="47" t="s">
        <v>8</v>
      </c>
      <c r="E21" s="47">
        <v>4</v>
      </c>
      <c r="F21" s="25">
        <v>44470</v>
      </c>
      <c r="G21" s="23">
        <v>133.30770000000001</v>
      </c>
      <c r="H21" s="34">
        <v>5.4921601615606663E-2</v>
      </c>
      <c r="L21" s="11">
        <v>4</v>
      </c>
      <c r="M21" s="4">
        <f t="shared" ca="1" si="0"/>
        <v>161.51476536242259</v>
      </c>
      <c r="N21" s="1">
        <f ca="1">RANDBETWEEN(1,MAX(XLV[Scenario]))</f>
        <v>11</v>
      </c>
      <c r="O21" s="7">
        <f ca="1">INDEX(XLV[Monthly Return],MATCH(N21,XLV[Scenario],0))</f>
        <v>3.6675429165694107E-2</v>
      </c>
      <c r="P21" s="4">
        <f t="shared" ca="1" si="1"/>
        <v>167.43838869868583</v>
      </c>
      <c r="S21" s="11">
        <v>3</v>
      </c>
      <c r="T21" s="4">
        <v>166.58829335703825</v>
      </c>
      <c r="U21" s="7">
        <v>0.24254712729945749</v>
      </c>
    </row>
    <row r="22" spans="4:21" x14ac:dyDescent="0.25">
      <c r="D22" s="47" t="s">
        <v>8</v>
      </c>
      <c r="E22" s="47">
        <v>5</v>
      </c>
      <c r="F22" s="25">
        <v>44440</v>
      </c>
      <c r="G22" s="23">
        <v>126.3674</v>
      </c>
      <c r="H22" s="34">
        <v>-5.8501230075533095E-2</v>
      </c>
      <c r="L22" s="11">
        <v>5</v>
      </c>
      <c r="M22" s="4">
        <f t="shared" ca="1" si="0"/>
        <v>167.43838869868583</v>
      </c>
      <c r="N22" s="1">
        <f ca="1">RANDBETWEEN(1,MAX(XLV[Scenario]))</f>
        <v>21</v>
      </c>
      <c r="O22" s="7">
        <f ca="1">INDEX(XLV[Monthly Return],MATCH(N22,XLV[Scenario],0))</f>
        <v>3.288826437528769E-2</v>
      </c>
      <c r="P22" s="4">
        <f t="shared" ca="1" si="1"/>
        <v>172.94514669278038</v>
      </c>
      <c r="S22" s="11">
        <v>4</v>
      </c>
      <c r="T22" s="4">
        <v>152.17783810015743</v>
      </c>
      <c r="U22" s="7">
        <v>0.13506256507911862</v>
      </c>
    </row>
    <row r="23" spans="4:21" x14ac:dyDescent="0.25">
      <c r="D23" s="47" t="s">
        <v>8</v>
      </c>
      <c r="E23" s="47">
        <v>6</v>
      </c>
      <c r="F23" s="25">
        <v>44409</v>
      </c>
      <c r="G23" s="23">
        <v>134.21940000000001</v>
      </c>
      <c r="H23" s="34">
        <v>2.3154871213177941E-2</v>
      </c>
      <c r="L23" s="11">
        <v>6</v>
      </c>
      <c r="M23" s="4">
        <f t="shared" ca="1" si="0"/>
        <v>172.94514669278038</v>
      </c>
      <c r="N23" s="1">
        <f ca="1">RANDBETWEEN(1,MAX(XLV[Scenario]))</f>
        <v>22</v>
      </c>
      <c r="O23" s="7">
        <f ca="1">INDEX(XLV[Monthly Return],MATCH(N23,XLV[Scenario],0))</f>
        <v>0.13133974888667965</v>
      </c>
      <c r="P23" s="4">
        <f t="shared" ca="1" si="1"/>
        <v>195.65971883058015</v>
      </c>
      <c r="S23" s="11">
        <v>5</v>
      </c>
      <c r="T23" s="4">
        <v>169.47579612775544</v>
      </c>
      <c r="U23" s="7">
        <v>0.26408440462262583</v>
      </c>
    </row>
    <row r="24" spans="4:21" x14ac:dyDescent="0.25">
      <c r="D24" s="47" t="s">
        <v>8</v>
      </c>
      <c r="E24" s="47">
        <v>7</v>
      </c>
      <c r="F24" s="25">
        <v>44378</v>
      </c>
      <c r="G24" s="23">
        <v>131.18190000000001</v>
      </c>
      <c r="H24" s="34">
        <v>5.3320464777547816E-2</v>
      </c>
      <c r="L24" s="11">
        <v>7</v>
      </c>
      <c r="M24" s="4">
        <f t="shared" ca="1" si="0"/>
        <v>195.65971883058015</v>
      </c>
      <c r="N24" s="1">
        <f ca="1">RANDBETWEEN(1,MAX(XLV[Scenario]))</f>
        <v>26</v>
      </c>
      <c r="O24" s="7">
        <f ca="1">INDEX(XLV[Monthly Return],MATCH(N24,XLV[Scenario],0))</f>
        <v>2.3821284780449536E-2</v>
      </c>
      <c r="P24" s="4">
        <f t="shared" ca="1" si="1"/>
        <v>200.32058471290608</v>
      </c>
      <c r="S24" s="11">
        <v>6</v>
      </c>
      <c r="T24" s="4">
        <v>149.89736736020663</v>
      </c>
      <c r="U24" s="7">
        <v>0.11805301230854504</v>
      </c>
    </row>
    <row r="25" spans="4:21" x14ac:dyDescent="0.25">
      <c r="D25" s="47" t="s">
        <v>8</v>
      </c>
      <c r="E25" s="47">
        <v>8</v>
      </c>
      <c r="F25" s="25">
        <v>44348</v>
      </c>
      <c r="G25" s="23">
        <v>124.54130000000001</v>
      </c>
      <c r="H25" s="34">
        <v>1.9012809938994124E-2</v>
      </c>
      <c r="L25" s="11">
        <v>8</v>
      </c>
      <c r="M25" s="4">
        <f t="shared" ca="1" si="0"/>
        <v>200.32058471290608</v>
      </c>
      <c r="N25" s="1">
        <f ca="1">RANDBETWEEN(1,MAX(XLV[Scenario]))</f>
        <v>34</v>
      </c>
      <c r="O25" s="7">
        <f ca="1">INDEX(XLV[Monthly Return],MATCH(N25,XLV[Scenario],0))</f>
        <v>-2.3516709180149697E-2</v>
      </c>
      <c r="P25" s="4">
        <f t="shared" ca="1" si="1"/>
        <v>195.60970377941513</v>
      </c>
      <c r="S25" s="11">
        <v>7</v>
      </c>
      <c r="T25" s="4">
        <v>164.36674847156195</v>
      </c>
      <c r="U25" s="7">
        <v>0.22597709011383582</v>
      </c>
    </row>
    <row r="26" spans="4:21" x14ac:dyDescent="0.25">
      <c r="D26" s="47" t="s">
        <v>8</v>
      </c>
      <c r="E26" s="47">
        <v>9</v>
      </c>
      <c r="F26" s="25">
        <v>44317</v>
      </c>
      <c r="G26" s="23">
        <v>122.2176</v>
      </c>
      <c r="H26" s="34">
        <v>1.8709209572153718E-2</v>
      </c>
      <c r="L26" s="11">
        <v>9</v>
      </c>
      <c r="M26" s="4">
        <f t="shared" ca="1" si="0"/>
        <v>195.60970377941513</v>
      </c>
      <c r="N26" s="1">
        <f ca="1">RANDBETWEEN(1,MAX(XLV[Scenario]))</f>
        <v>12</v>
      </c>
      <c r="O26" s="7">
        <f ca="1">INDEX(XLV[Monthly Return],MATCH(N26,XLV[Scenario],0))</f>
        <v>-2.1038376709307416E-2</v>
      </c>
      <c r="P26" s="4">
        <f t="shared" ca="1" si="1"/>
        <v>191.49439314330775</v>
      </c>
      <c r="S26" s="11">
        <v>8</v>
      </c>
      <c r="T26" s="4">
        <v>154.29052164030205</v>
      </c>
      <c r="U26" s="7">
        <v>0.15082062833073806</v>
      </c>
    </row>
    <row r="27" spans="4:21" x14ac:dyDescent="0.25">
      <c r="D27" s="47" t="s">
        <v>8</v>
      </c>
      <c r="E27" s="47">
        <v>10</v>
      </c>
      <c r="F27" s="25">
        <v>44287</v>
      </c>
      <c r="G27" s="23">
        <v>119.973</v>
      </c>
      <c r="H27" s="34">
        <v>4.2926065979919104E-2</v>
      </c>
      <c r="L27" s="11">
        <v>10</v>
      </c>
      <c r="M27" s="4">
        <f t="shared" ca="1" si="0"/>
        <v>191.49439314330775</v>
      </c>
      <c r="N27" s="1">
        <f ca="1">RANDBETWEEN(1,MAX(XLV[Scenario]))</f>
        <v>43</v>
      </c>
      <c r="O27" s="7">
        <f ca="1">INDEX(XLV[Monthly Return],MATCH(N27,XLV[Scenario],0))</f>
        <v>6.9487441897401192E-2</v>
      </c>
      <c r="P27" s="4">
        <f t="shared" ca="1" si="1"/>
        <v>204.80084866053144</v>
      </c>
      <c r="S27" s="11">
        <v>9</v>
      </c>
      <c r="T27" s="4">
        <v>162.74200612953294</v>
      </c>
      <c r="U27" s="7">
        <v>0.21385847788120338</v>
      </c>
    </row>
    <row r="28" spans="4:21" x14ac:dyDescent="0.25">
      <c r="D28" s="47" t="s">
        <v>8</v>
      </c>
      <c r="E28" s="47">
        <v>11</v>
      </c>
      <c r="F28" s="25">
        <v>44256</v>
      </c>
      <c r="G28" s="23">
        <v>115.035</v>
      </c>
      <c r="H28" s="34">
        <v>3.6675429165694107E-2</v>
      </c>
      <c r="L28" s="11">
        <v>11</v>
      </c>
      <c r="M28" s="4">
        <f t="shared" ca="1" si="0"/>
        <v>204.80084866053144</v>
      </c>
      <c r="N28" s="1">
        <f ca="1">RANDBETWEEN(1,MAX(XLV[Scenario]))</f>
        <v>45</v>
      </c>
      <c r="O28" s="7">
        <f ca="1">INDEX(XLV[Monthly Return],MATCH(N28,XLV[Scenario],0))</f>
        <v>1.8232476419939303E-3</v>
      </c>
      <c r="P28" s="4">
        <f t="shared" ca="1" si="1"/>
        <v>205.17425132493011</v>
      </c>
      <c r="S28" s="11">
        <v>10</v>
      </c>
      <c r="T28" s="4">
        <v>134.40627147324727</v>
      </c>
      <c r="U28" s="7">
        <v>2.5081783638940536E-3</v>
      </c>
    </row>
    <row r="29" spans="4:21" x14ac:dyDescent="0.25">
      <c r="D29" s="47" t="s">
        <v>8</v>
      </c>
      <c r="E29" s="47">
        <v>12</v>
      </c>
      <c r="F29" s="25">
        <v>44228</v>
      </c>
      <c r="G29" s="23">
        <v>110.9653</v>
      </c>
      <c r="H29" s="34">
        <v>-2.1038376709307416E-2</v>
      </c>
      <c r="L29" s="11">
        <v>12</v>
      </c>
      <c r="M29" s="4">
        <f t="shared" ca="1" si="0"/>
        <v>205.17425132493011</v>
      </c>
      <c r="N29" s="1">
        <f ca="1">RANDBETWEEN(1,MAX(XLV[Scenario]))</f>
        <v>10</v>
      </c>
      <c r="O29" s="7">
        <f ca="1">INDEX(XLV[Monthly Return],MATCH(N29,XLV[Scenario],0))</f>
        <v>4.2926065979919104E-2</v>
      </c>
      <c r="P29" s="4">
        <f t="shared" ca="1" si="1"/>
        <v>213.98157477468456</v>
      </c>
      <c r="S29" s="11">
        <v>11</v>
      </c>
      <c r="T29" s="4">
        <v>145.46321822598463</v>
      </c>
      <c r="U29" s="7">
        <v>8.4979624270788756E-2</v>
      </c>
    </row>
    <row r="30" spans="4:21" x14ac:dyDescent="0.25">
      <c r="D30" s="47" t="s">
        <v>8</v>
      </c>
      <c r="E30" s="47">
        <v>13</v>
      </c>
      <c r="F30" s="25">
        <v>44197</v>
      </c>
      <c r="G30" s="23">
        <v>113.35</v>
      </c>
      <c r="H30" s="34">
        <v>1.8197301215728379E-2</v>
      </c>
      <c r="S30" s="11">
        <v>12</v>
      </c>
      <c r="T30" s="4">
        <v>206.99645148427956</v>
      </c>
      <c r="U30" s="7">
        <v>0.54394310050182426</v>
      </c>
    </row>
    <row r="31" spans="4:21" x14ac:dyDescent="0.25">
      <c r="D31" s="47" t="s">
        <v>8</v>
      </c>
      <c r="E31" s="47">
        <v>14</v>
      </c>
      <c r="F31" s="25">
        <v>44166</v>
      </c>
      <c r="G31" s="23">
        <v>111.3242</v>
      </c>
      <c r="H31" s="34">
        <v>3.3716149209049417E-2</v>
      </c>
      <c r="S31" s="11">
        <v>13</v>
      </c>
      <c r="T31" s="4">
        <v>164.31267799815353</v>
      </c>
      <c r="U31" s="7">
        <v>0.2255737897975203</v>
      </c>
    </row>
    <row r="32" spans="4:21" x14ac:dyDescent="0.25">
      <c r="D32" s="47" t="s">
        <v>8</v>
      </c>
      <c r="E32" s="47">
        <v>15</v>
      </c>
      <c r="F32" s="25">
        <v>44136</v>
      </c>
      <c r="G32" s="23">
        <v>107.6932</v>
      </c>
      <c r="H32" s="34">
        <v>7.9480653823677638E-2</v>
      </c>
      <c r="S32" s="11">
        <v>14</v>
      </c>
      <c r="T32" s="4">
        <v>152.97866804903188</v>
      </c>
      <c r="U32" s="7">
        <v>0.14103578764102243</v>
      </c>
    </row>
    <row r="33" spans="4:21" x14ac:dyDescent="0.25">
      <c r="D33" s="47" t="s">
        <v>8</v>
      </c>
      <c r="E33" s="47">
        <v>16</v>
      </c>
      <c r="F33" s="25">
        <v>44105</v>
      </c>
      <c r="G33" s="23">
        <v>99.763900000000007</v>
      </c>
      <c r="H33" s="34">
        <v>-3.2383245055658039E-2</v>
      </c>
      <c r="S33" s="11">
        <v>15</v>
      </c>
      <c r="T33" s="4">
        <v>154.47018790302562</v>
      </c>
      <c r="U33" s="7">
        <v>0.1521607212875784</v>
      </c>
    </row>
    <row r="34" spans="4:21" x14ac:dyDescent="0.25">
      <c r="D34" s="47" t="s">
        <v>8</v>
      </c>
      <c r="E34" s="47">
        <v>17</v>
      </c>
      <c r="F34" s="25">
        <v>44075</v>
      </c>
      <c r="G34" s="23">
        <v>103.1027</v>
      </c>
      <c r="H34" s="34">
        <v>-2.5679431412368725E-2</v>
      </c>
      <c r="S34" s="11">
        <v>16</v>
      </c>
      <c r="T34" s="4">
        <v>179.93648466073429</v>
      </c>
      <c r="U34" s="7">
        <v>0.34210848557271811</v>
      </c>
    </row>
    <row r="35" spans="4:21" x14ac:dyDescent="0.25">
      <c r="D35" s="47" t="s">
        <v>8</v>
      </c>
      <c r="E35" s="47">
        <v>18</v>
      </c>
      <c r="F35" s="25">
        <v>44044</v>
      </c>
      <c r="G35" s="23">
        <v>105.8201</v>
      </c>
      <c r="H35" s="34">
        <v>2.5869690823991043E-2</v>
      </c>
      <c r="S35" s="11">
        <v>17</v>
      </c>
      <c r="T35" s="4">
        <v>200.52808224246155</v>
      </c>
      <c r="U35" s="7">
        <v>0.49569689149296314</v>
      </c>
    </row>
    <row r="36" spans="4:21" x14ac:dyDescent="0.25">
      <c r="D36" s="47" t="s">
        <v>8</v>
      </c>
      <c r="E36" s="47">
        <v>19</v>
      </c>
      <c r="F36" s="25">
        <v>44013</v>
      </c>
      <c r="G36" s="23">
        <v>103.1516</v>
      </c>
      <c r="H36" s="34">
        <v>5.9029588714810899E-2</v>
      </c>
      <c r="S36" s="11">
        <v>18</v>
      </c>
      <c r="T36" s="4">
        <v>142.38372541140313</v>
      </c>
      <c r="U36" s="7">
        <v>6.2010333492974912E-2</v>
      </c>
    </row>
    <row r="37" spans="4:21" x14ac:dyDescent="0.25">
      <c r="D37" s="47" t="s">
        <v>8</v>
      </c>
      <c r="E37" s="47">
        <v>20</v>
      </c>
      <c r="F37" s="25">
        <v>43983</v>
      </c>
      <c r="G37" s="23">
        <v>97.402000000000001</v>
      </c>
      <c r="H37" s="34">
        <v>-2.8540766539402074E-2</v>
      </c>
      <c r="S37" s="11">
        <v>19</v>
      </c>
      <c r="T37" s="4">
        <v>136.74397984899733</v>
      </c>
      <c r="U37" s="7">
        <v>1.9944654650535742E-2</v>
      </c>
    </row>
    <row r="38" spans="4:21" x14ac:dyDescent="0.25">
      <c r="D38" s="47" t="s">
        <v>8</v>
      </c>
      <c r="E38" s="47">
        <v>21</v>
      </c>
      <c r="F38" s="25">
        <v>43952</v>
      </c>
      <c r="G38" s="23">
        <v>100.2636</v>
      </c>
      <c r="H38" s="34">
        <v>3.288826437528769E-2</v>
      </c>
      <c r="S38" s="11">
        <v>20</v>
      </c>
      <c r="T38" s="4">
        <v>125.53448685723821</v>
      </c>
      <c r="U38" s="7">
        <v>-6.3664601646615804E-2</v>
      </c>
    </row>
    <row r="39" spans="4:21" x14ac:dyDescent="0.25">
      <c r="D39" s="47" t="s">
        <v>8</v>
      </c>
      <c r="E39" s="47">
        <v>22</v>
      </c>
      <c r="F39" s="25">
        <v>43922</v>
      </c>
      <c r="G39" s="23">
        <v>97.071100000000001</v>
      </c>
      <c r="H39" s="34">
        <v>0.13133974888667965</v>
      </c>
      <c r="S39" s="11">
        <v>21</v>
      </c>
      <c r="T39" s="4">
        <v>150.11895680084288</v>
      </c>
      <c r="U39" s="7">
        <v>0.11970580145329213</v>
      </c>
    </row>
    <row r="40" spans="4:21" x14ac:dyDescent="0.25">
      <c r="D40" s="47" t="s">
        <v>8</v>
      </c>
      <c r="E40" s="47">
        <v>23</v>
      </c>
      <c r="F40" s="25">
        <v>43891</v>
      </c>
      <c r="G40" s="23">
        <v>85.801900000000003</v>
      </c>
      <c r="H40" s="34">
        <v>-4.3515726460473414E-2</v>
      </c>
      <c r="S40" s="11">
        <v>22</v>
      </c>
      <c r="T40" s="4">
        <v>140.13866199594167</v>
      </c>
      <c r="U40" s="7">
        <v>4.5264876526752262E-2</v>
      </c>
    </row>
    <row r="41" spans="4:21" x14ac:dyDescent="0.25">
      <c r="D41" s="47" t="s">
        <v>8</v>
      </c>
      <c r="E41" s="47">
        <v>24</v>
      </c>
      <c r="F41" s="25">
        <v>43862</v>
      </c>
      <c r="G41" s="23">
        <v>89.705500000000001</v>
      </c>
      <c r="H41" s="34">
        <v>-6.5866436462506228E-2</v>
      </c>
      <c r="S41" s="11">
        <v>23</v>
      </c>
      <c r="T41" s="4">
        <v>131.04507640004738</v>
      </c>
      <c r="U41" s="7">
        <v>-2.2562270455378619E-2</v>
      </c>
    </row>
    <row r="42" spans="4:21" x14ac:dyDescent="0.25">
      <c r="D42" s="47" t="s">
        <v>8</v>
      </c>
      <c r="E42" s="47">
        <v>25</v>
      </c>
      <c r="F42" s="25">
        <v>43831</v>
      </c>
      <c r="G42" s="23">
        <v>96.030699999999996</v>
      </c>
      <c r="H42" s="34">
        <v>-1.6311713108885018E-2</v>
      </c>
      <c r="S42" s="11">
        <v>24</v>
      </c>
      <c r="T42" s="4">
        <v>151.41318682831911</v>
      </c>
      <c r="U42" s="7">
        <v>0.12935919167837051</v>
      </c>
    </row>
    <row r="43" spans="4:21" x14ac:dyDescent="0.25">
      <c r="D43" s="47" t="s">
        <v>8</v>
      </c>
      <c r="E43" s="47">
        <v>26</v>
      </c>
      <c r="F43" s="25">
        <v>43800</v>
      </c>
      <c r="G43" s="23">
        <v>97.623099999999994</v>
      </c>
      <c r="H43" s="34">
        <v>2.3821284780449536E-2</v>
      </c>
      <c r="S43" s="11">
        <v>25</v>
      </c>
      <c r="T43" s="4">
        <v>137.94353878822758</v>
      </c>
      <c r="U43" s="7">
        <v>2.8891913091874333E-2</v>
      </c>
    </row>
    <row r="44" spans="4:21" x14ac:dyDescent="0.25">
      <c r="D44" s="47" t="s">
        <v>8</v>
      </c>
      <c r="E44" s="47">
        <v>27</v>
      </c>
      <c r="F44" s="25">
        <v>43770</v>
      </c>
      <c r="G44" s="23">
        <v>95.351699999999994</v>
      </c>
      <c r="H44" s="34">
        <v>5.0025933581399951E-2</v>
      </c>
      <c r="S44" s="11">
        <v>26</v>
      </c>
      <c r="T44" s="4">
        <v>183.09272288117842</v>
      </c>
      <c r="U44" s="7">
        <v>0.36565020423046479</v>
      </c>
    </row>
    <row r="45" spans="4:21" x14ac:dyDescent="0.25">
      <c r="D45" s="47" t="s">
        <v>8</v>
      </c>
      <c r="E45" s="47">
        <v>28</v>
      </c>
      <c r="F45" s="25">
        <v>43739</v>
      </c>
      <c r="G45" s="23">
        <v>90.808899999999994</v>
      </c>
      <c r="H45" s="34">
        <v>5.562653082813207E-2</v>
      </c>
      <c r="S45" s="11">
        <v>27</v>
      </c>
      <c r="T45" s="4">
        <v>178.32432564992737</v>
      </c>
      <c r="U45" s="7">
        <v>0.3300837297674899</v>
      </c>
    </row>
    <row r="46" spans="4:21" x14ac:dyDescent="0.25">
      <c r="D46" s="47" t="s">
        <v>8</v>
      </c>
      <c r="E46" s="47">
        <v>29</v>
      </c>
      <c r="F46" s="25">
        <v>43709</v>
      </c>
      <c r="G46" s="23">
        <v>86.023700000000005</v>
      </c>
      <c r="H46" s="34">
        <v>-5.1877884594256907E-3</v>
      </c>
      <c r="S46" s="11">
        <v>28</v>
      </c>
      <c r="T46" s="4">
        <v>116.06564953011811</v>
      </c>
      <c r="U46" s="7">
        <v>-0.13429067255822991</v>
      </c>
    </row>
    <row r="47" spans="4:21" x14ac:dyDescent="0.25">
      <c r="D47" s="47" t="s">
        <v>8</v>
      </c>
      <c r="E47" s="47">
        <v>30</v>
      </c>
      <c r="F47" s="25">
        <v>43678</v>
      </c>
      <c r="G47" s="23">
        <v>86.472300000000004</v>
      </c>
      <c r="H47" s="34">
        <v>-5.9249755999986053E-3</v>
      </c>
      <c r="S47" s="11">
        <v>29</v>
      </c>
      <c r="T47" s="4">
        <v>144.71008753486072</v>
      </c>
      <c r="U47" s="7">
        <v>7.9362180464389587E-2</v>
      </c>
    </row>
    <row r="48" spans="4:21" x14ac:dyDescent="0.25">
      <c r="D48" s="47" t="s">
        <v>8</v>
      </c>
      <c r="E48" s="47">
        <v>31</v>
      </c>
      <c r="F48" s="25">
        <v>43647</v>
      </c>
      <c r="G48" s="23">
        <v>86.987700000000004</v>
      </c>
      <c r="H48" s="34">
        <v>-1.1994043866852433E-2</v>
      </c>
      <c r="S48" s="11">
        <v>30</v>
      </c>
      <c r="T48" s="4">
        <v>130.90693165500861</v>
      </c>
      <c r="U48" s="7">
        <v>-2.3592663123677138E-2</v>
      </c>
    </row>
    <row r="49" spans="4:21" x14ac:dyDescent="0.25">
      <c r="D49" s="47" t="s">
        <v>8</v>
      </c>
      <c r="E49" s="47">
        <v>32</v>
      </c>
      <c r="F49" s="25">
        <v>43617</v>
      </c>
      <c r="G49" s="23">
        <v>88.043700000000001</v>
      </c>
      <c r="H49" s="34">
        <v>6.1410710346149422E-2</v>
      </c>
      <c r="S49" s="11">
        <v>31</v>
      </c>
      <c r="T49" s="4">
        <v>128.867444354345</v>
      </c>
      <c r="U49" s="7">
        <v>-3.8804770982732828E-2</v>
      </c>
    </row>
    <row r="50" spans="4:21" x14ac:dyDescent="0.25">
      <c r="D50" s="47" t="s">
        <v>8</v>
      </c>
      <c r="E50" s="47">
        <v>33</v>
      </c>
      <c r="F50" s="25">
        <v>43586</v>
      </c>
      <c r="G50" s="23">
        <v>82.949700000000007</v>
      </c>
      <c r="H50" s="34">
        <v>-2.2181645004090367E-2</v>
      </c>
      <c r="S50" s="11">
        <v>32</v>
      </c>
      <c r="T50" s="4">
        <v>158.06766576531385</v>
      </c>
      <c r="U50" s="7">
        <v>0.1789935538548062</v>
      </c>
    </row>
    <row r="51" spans="4:21" x14ac:dyDescent="0.25">
      <c r="D51" s="47" t="s">
        <v>8</v>
      </c>
      <c r="E51" s="47">
        <v>34</v>
      </c>
      <c r="F51" s="25">
        <v>43556</v>
      </c>
      <c r="G51" s="23">
        <v>84.831400000000002</v>
      </c>
      <c r="H51" s="34">
        <v>-2.3516709180149697E-2</v>
      </c>
      <c r="S51" s="11">
        <v>33</v>
      </c>
      <c r="T51" s="4">
        <v>218.88812317735281</v>
      </c>
      <c r="U51" s="7">
        <v>0.63264058460022987</v>
      </c>
    </row>
    <row r="52" spans="4:21" x14ac:dyDescent="0.25">
      <c r="D52" s="47" t="s">
        <v>8</v>
      </c>
      <c r="E52" s="47">
        <v>35</v>
      </c>
      <c r="F52" s="25">
        <v>43525</v>
      </c>
      <c r="G52" s="23">
        <v>86.874399999999994</v>
      </c>
      <c r="H52" s="34">
        <v>1.0912690410314063E-3</v>
      </c>
      <c r="S52" s="11">
        <v>34</v>
      </c>
      <c r="T52" s="4">
        <v>152.30223906130195</v>
      </c>
      <c r="U52" s="7">
        <v>0.13599044574701247</v>
      </c>
    </row>
    <row r="53" spans="4:21" x14ac:dyDescent="0.25">
      <c r="D53" s="47" t="s">
        <v>8</v>
      </c>
      <c r="E53" s="47">
        <v>36</v>
      </c>
      <c r="F53" s="25">
        <v>43497</v>
      </c>
      <c r="G53" s="23">
        <v>86.779700000000005</v>
      </c>
      <c r="H53" s="34">
        <v>1.080816010846597E-2</v>
      </c>
      <c r="S53" s="11">
        <v>35</v>
      </c>
      <c r="T53" s="4">
        <v>125.01365722890036</v>
      </c>
      <c r="U53" s="7">
        <v>-6.7549360566119487E-2</v>
      </c>
    </row>
    <row r="54" spans="4:21" x14ac:dyDescent="0.25">
      <c r="D54" s="47" t="s">
        <v>8</v>
      </c>
      <c r="E54" s="47">
        <v>37</v>
      </c>
      <c r="F54" s="25">
        <v>43466</v>
      </c>
      <c r="G54" s="23">
        <v>85.851799999999997</v>
      </c>
      <c r="H54" s="34">
        <v>5.2844705902551636E-2</v>
      </c>
      <c r="S54" s="11">
        <v>36</v>
      </c>
      <c r="T54" s="4">
        <v>149.8232706460366</v>
      </c>
      <c r="U54" s="7">
        <v>0.11750034046420987</v>
      </c>
    </row>
    <row r="55" spans="4:21" x14ac:dyDescent="0.25">
      <c r="D55" s="47" t="s">
        <v>8</v>
      </c>
      <c r="E55" s="47">
        <v>38</v>
      </c>
      <c r="F55" s="25">
        <v>43435</v>
      </c>
      <c r="G55" s="23">
        <v>81.542699999999996</v>
      </c>
      <c r="H55" s="34">
        <v>-9.7632608977118562E-2</v>
      </c>
      <c r="S55" s="11">
        <v>37</v>
      </c>
      <c r="T55" s="4">
        <v>115.56562141948933</v>
      </c>
      <c r="U55" s="7">
        <v>-0.13802027732162792</v>
      </c>
    </row>
    <row r="56" spans="4:21" x14ac:dyDescent="0.25">
      <c r="D56" s="47" t="s">
        <v>8</v>
      </c>
      <c r="E56" s="47">
        <v>39</v>
      </c>
      <c r="F56" s="25">
        <v>43405</v>
      </c>
      <c r="G56" s="23">
        <v>90.365300000000005</v>
      </c>
      <c r="H56" s="34">
        <v>8.0835433439106152E-2</v>
      </c>
      <c r="S56" s="11">
        <v>38</v>
      </c>
      <c r="T56" s="4">
        <v>152.99136686208954</v>
      </c>
      <c r="U56" s="7">
        <v>0.14113050542320837</v>
      </c>
    </row>
    <row r="57" spans="4:21" x14ac:dyDescent="0.25">
      <c r="D57" s="47" t="s">
        <v>8</v>
      </c>
      <c r="E57" s="47">
        <v>40</v>
      </c>
      <c r="F57" s="25">
        <v>43374</v>
      </c>
      <c r="G57" s="23">
        <v>83.606899999999996</v>
      </c>
      <c r="H57" s="34">
        <v>-6.4153895921458148E-2</v>
      </c>
      <c r="S57" s="11">
        <v>39</v>
      </c>
      <c r="T57" s="4">
        <v>179.6291249794015</v>
      </c>
      <c r="U57" s="7">
        <v>0.33981595419856414</v>
      </c>
    </row>
    <row r="58" spans="4:21" x14ac:dyDescent="0.25">
      <c r="D58" s="47" t="s">
        <v>8</v>
      </c>
      <c r="E58" s="47">
        <v>41</v>
      </c>
      <c r="F58" s="25">
        <v>43344</v>
      </c>
      <c r="G58" s="23">
        <v>89.338300000000004</v>
      </c>
      <c r="H58" s="34">
        <v>2.5543804548340043E-2</v>
      </c>
      <c r="S58" s="11">
        <v>40</v>
      </c>
      <c r="T58" s="4">
        <v>158.0045661829032</v>
      </c>
      <c r="U58" s="7">
        <v>0.17852290730889253</v>
      </c>
    </row>
    <row r="59" spans="4:21" x14ac:dyDescent="0.25">
      <c r="D59" s="47" t="s">
        <v>8</v>
      </c>
      <c r="E59" s="47">
        <v>42</v>
      </c>
      <c r="F59" s="25">
        <v>43313</v>
      </c>
      <c r="G59" s="23">
        <v>87.113100000000003</v>
      </c>
      <c r="H59" s="34">
        <v>4.3293148834346207E-2</v>
      </c>
      <c r="S59" s="11">
        <v>41</v>
      </c>
      <c r="T59" s="4">
        <v>116.92109151378969</v>
      </c>
      <c r="U59" s="7">
        <v>-0.12791011028724031</v>
      </c>
    </row>
    <row r="60" spans="4:21" x14ac:dyDescent="0.25">
      <c r="D60" s="47" t="s">
        <v>8</v>
      </c>
      <c r="E60" s="47">
        <v>43</v>
      </c>
      <c r="F60" s="25">
        <v>43282</v>
      </c>
      <c r="G60" s="23">
        <v>83.498199999999997</v>
      </c>
      <c r="H60" s="34">
        <v>6.9487441897401192E-2</v>
      </c>
      <c r="S60" s="11">
        <v>42</v>
      </c>
      <c r="T60" s="4">
        <v>200.83010738494008</v>
      </c>
      <c r="U60" s="7">
        <v>0.49794963366107314</v>
      </c>
    </row>
    <row r="61" spans="4:21" x14ac:dyDescent="0.25">
      <c r="D61" s="47" t="s">
        <v>8</v>
      </c>
      <c r="E61" s="47">
        <v>44</v>
      </c>
      <c r="F61" s="25">
        <v>43252</v>
      </c>
      <c r="G61" s="23">
        <v>78.073099999999997</v>
      </c>
      <c r="H61" s="34">
        <v>1.2740803389245547E-2</v>
      </c>
      <c r="S61" s="11">
        <v>43</v>
      </c>
      <c r="T61" s="4">
        <v>145.7852696919299</v>
      </c>
      <c r="U61" s="7">
        <v>8.7381738583798718E-2</v>
      </c>
    </row>
    <row r="62" spans="4:21" x14ac:dyDescent="0.25">
      <c r="D62" s="47" t="s">
        <v>8</v>
      </c>
      <c r="E62" s="47">
        <v>45</v>
      </c>
      <c r="F62" s="25">
        <v>43221</v>
      </c>
      <c r="G62" s="23">
        <v>77.090900000000005</v>
      </c>
      <c r="H62" s="34">
        <v>1.8232476419939303E-3</v>
      </c>
      <c r="S62" s="11">
        <v>44</v>
      </c>
      <c r="T62" s="4">
        <v>144.7127045190133</v>
      </c>
      <c r="U62" s="7">
        <v>7.9381700000099364E-2</v>
      </c>
    </row>
    <row r="63" spans="4:21" x14ac:dyDescent="0.25">
      <c r="D63" s="47" t="s">
        <v>8</v>
      </c>
      <c r="E63" s="47">
        <v>46</v>
      </c>
      <c r="F63" s="25">
        <v>43191</v>
      </c>
      <c r="G63" s="23">
        <v>76.950599999999994</v>
      </c>
      <c r="H63" s="34">
        <v>1.4115802028215718E-2</v>
      </c>
      <c r="S63" s="11">
        <v>45</v>
      </c>
      <c r="T63" s="4">
        <v>145.38678762711413</v>
      </c>
      <c r="U63" s="7">
        <v>8.4409544470158471E-2</v>
      </c>
    </row>
    <row r="64" spans="4:21" x14ac:dyDescent="0.25">
      <c r="D64" s="47" t="s">
        <v>8</v>
      </c>
      <c r="E64" s="47">
        <v>47</v>
      </c>
      <c r="F64" s="25">
        <v>43160</v>
      </c>
      <c r="G64" s="23">
        <v>75.879499999999993</v>
      </c>
      <c r="H64" s="34">
        <v>-3.256508363114341E-2</v>
      </c>
      <c r="S64" s="11">
        <v>46</v>
      </c>
      <c r="T64" s="4">
        <v>131.5550452884905</v>
      </c>
      <c r="U64" s="7">
        <v>-1.8758519515995276E-2</v>
      </c>
    </row>
    <row r="65" spans="4:21" x14ac:dyDescent="0.25">
      <c r="D65" s="47" t="s">
        <v>8</v>
      </c>
      <c r="E65" s="47">
        <v>48</v>
      </c>
      <c r="F65" s="25">
        <v>43132</v>
      </c>
      <c r="G65" s="23">
        <v>78.433700000000002</v>
      </c>
      <c r="H65" s="34">
        <v>-4.4948499301675104E-2</v>
      </c>
      <c r="S65" s="11">
        <v>47</v>
      </c>
      <c r="T65" s="4">
        <v>209.45912502122653</v>
      </c>
      <c r="U65" s="7">
        <v>0.56231166570617241</v>
      </c>
    </row>
    <row r="66" spans="4:21" x14ac:dyDescent="0.25">
      <c r="D66" s="47" t="s">
        <v>8</v>
      </c>
      <c r="E66" s="47">
        <v>49</v>
      </c>
      <c r="F66" s="25">
        <v>43101</v>
      </c>
      <c r="G66" s="23">
        <v>82.125100000000003</v>
      </c>
      <c r="H66" s="34">
        <v>6.981364097032805E-2</v>
      </c>
      <c r="S66" s="11">
        <v>48</v>
      </c>
      <c r="T66" s="4">
        <v>183.97214283264606</v>
      </c>
      <c r="U66" s="7">
        <v>0.37220961313228962</v>
      </c>
    </row>
    <row r="67" spans="4:21" x14ac:dyDescent="0.25">
      <c r="D67" s="47" t="s">
        <v>8</v>
      </c>
      <c r="E67" s="47">
        <v>50</v>
      </c>
      <c r="F67" s="25">
        <v>43070</v>
      </c>
      <c r="G67" s="23">
        <v>76.765799999999999</v>
      </c>
      <c r="H67" s="34">
        <v>-9.4646016157565738E-3</v>
      </c>
      <c r="S67" s="11">
        <v>49</v>
      </c>
      <c r="T67" s="4">
        <v>165.38757755836443</v>
      </c>
      <c r="U67" s="7">
        <v>0.23359124008625676</v>
      </c>
    </row>
    <row r="68" spans="4:21" x14ac:dyDescent="0.25">
      <c r="D68" s="47" t="s">
        <v>8</v>
      </c>
      <c r="E68" s="47">
        <v>51</v>
      </c>
      <c r="F68" s="25">
        <v>43040</v>
      </c>
      <c r="G68" s="23">
        <v>77.499300000000005</v>
      </c>
      <c r="H68" s="34">
        <v>2.9096471694280091E-2</v>
      </c>
      <c r="S68" s="11">
        <v>50</v>
      </c>
      <c r="T68" s="4">
        <v>150.81350556191097</v>
      </c>
      <c r="U68" s="7">
        <v>0.12488629493481751</v>
      </c>
    </row>
    <row r="69" spans="4:21" x14ac:dyDescent="0.25">
      <c r="D69" s="47" t="s">
        <v>8</v>
      </c>
      <c r="E69" s="47">
        <v>52</v>
      </c>
      <c r="F69" s="25">
        <v>43009</v>
      </c>
      <c r="G69" s="23">
        <v>75.308099999999996</v>
      </c>
      <c r="H69" s="34">
        <v>-3.9322588069107267E-3</v>
      </c>
      <c r="S69" s="11">
        <v>51</v>
      </c>
      <c r="T69" s="4">
        <v>124.86001915150365</v>
      </c>
      <c r="U69" s="7">
        <v>-6.8695314749730341E-2</v>
      </c>
    </row>
    <row r="70" spans="4:21" x14ac:dyDescent="0.25">
      <c r="D70" s="47" t="s">
        <v>8</v>
      </c>
      <c r="E70" s="47">
        <v>53</v>
      </c>
      <c r="F70" s="25">
        <v>42979</v>
      </c>
      <c r="G70" s="23">
        <v>75.605400000000003</v>
      </c>
      <c r="H70" s="34">
        <v>5.4123491989190864E-3</v>
      </c>
      <c r="S70" s="11">
        <v>52</v>
      </c>
      <c r="T70" s="4">
        <v>156.5626605864075</v>
      </c>
      <c r="U70" s="7">
        <v>0.1677680359991609</v>
      </c>
    </row>
    <row r="71" spans="4:21" x14ac:dyDescent="0.25">
      <c r="D71" s="47" t="s">
        <v>8</v>
      </c>
      <c r="E71" s="47">
        <v>54</v>
      </c>
      <c r="F71" s="25">
        <v>42948</v>
      </c>
      <c r="G71" s="23">
        <v>75.198400000000007</v>
      </c>
      <c r="H71" s="34">
        <v>1.7524251285125469E-2</v>
      </c>
      <c r="S71" s="11">
        <v>53</v>
      </c>
      <c r="T71" s="4">
        <v>147.88042096336326</v>
      </c>
      <c r="U71" s="7">
        <v>0.10300903232164749</v>
      </c>
    </row>
    <row r="72" spans="4:21" x14ac:dyDescent="0.25">
      <c r="D72" s="47" t="s">
        <v>8</v>
      </c>
      <c r="E72" s="47">
        <v>55</v>
      </c>
      <c r="F72" s="25">
        <v>42917</v>
      </c>
      <c r="G72" s="23">
        <v>73.903300000000002</v>
      </c>
      <c r="H72" s="34">
        <v>1.2206195959299837E-2</v>
      </c>
      <c r="S72" s="11">
        <v>54</v>
      </c>
      <c r="T72" s="4">
        <v>148.80235630548819</v>
      </c>
      <c r="U72" s="7">
        <v>0.10988555460198546</v>
      </c>
    </row>
    <row r="73" spans="4:21" x14ac:dyDescent="0.25">
      <c r="D73" s="47" t="s">
        <v>8</v>
      </c>
      <c r="E73" s="47">
        <v>56</v>
      </c>
      <c r="F73" s="25">
        <v>42887</v>
      </c>
      <c r="G73" s="23">
        <v>73.012100000000004</v>
      </c>
      <c r="H73" s="34">
        <v>4.15361395940681E-2</v>
      </c>
      <c r="S73" s="11">
        <v>55</v>
      </c>
      <c r="T73" s="4">
        <v>132.27156947830429</v>
      </c>
      <c r="U73" s="7">
        <v>-1.3414115922247394E-2</v>
      </c>
    </row>
    <row r="74" spans="4:21" x14ac:dyDescent="0.25">
      <c r="D74" s="47" t="s">
        <v>8</v>
      </c>
      <c r="E74" s="47">
        <v>57</v>
      </c>
      <c r="F74" s="25">
        <v>42856</v>
      </c>
      <c r="G74" s="23">
        <v>70.100399999999993</v>
      </c>
      <c r="H74" s="34">
        <v>7.6819135784720327E-3</v>
      </c>
      <c r="S74" s="11">
        <v>56</v>
      </c>
      <c r="T74" s="4">
        <v>154.89411521132888</v>
      </c>
      <c r="U74" s="7">
        <v>0.15532270613357868</v>
      </c>
    </row>
    <row r="75" spans="4:21" x14ac:dyDescent="0.25">
      <c r="D75" s="47" t="s">
        <v>8</v>
      </c>
      <c r="E75" s="47">
        <v>58</v>
      </c>
      <c r="F75" s="25">
        <v>42826</v>
      </c>
      <c r="G75" s="23">
        <v>69.566000000000003</v>
      </c>
      <c r="H75" s="34">
        <v>1.9011807857549856E-2</v>
      </c>
      <c r="S75" s="11">
        <v>57</v>
      </c>
      <c r="T75" s="4">
        <v>171.51089234679762</v>
      </c>
      <c r="U75" s="7">
        <v>0.27926376032518552</v>
      </c>
    </row>
    <row r="76" spans="4:21" x14ac:dyDescent="0.25">
      <c r="D76" s="47" t="s">
        <v>8</v>
      </c>
      <c r="E76" s="47">
        <v>59</v>
      </c>
      <c r="F76" s="25">
        <v>42795</v>
      </c>
      <c r="G76" s="23">
        <v>68.268100000000004</v>
      </c>
      <c r="H76" s="34">
        <v>-8.4012985409570584E-3</v>
      </c>
      <c r="S76" s="11">
        <v>58</v>
      </c>
      <c r="T76" s="4">
        <v>171.53949966049589</v>
      </c>
      <c r="U76" s="7">
        <v>0.27947713627579551</v>
      </c>
    </row>
    <row r="77" spans="4:21" x14ac:dyDescent="0.25">
      <c r="D77" s="47" t="s">
        <v>8</v>
      </c>
      <c r="E77" s="47">
        <v>60</v>
      </c>
      <c r="F77" s="25">
        <v>42767</v>
      </c>
      <c r="G77" s="23">
        <v>68.846500000000006</v>
      </c>
      <c r="H77" s="34">
        <v>6.3386296833465527E-2</v>
      </c>
      <c r="S77" s="11">
        <v>59</v>
      </c>
      <c r="T77" s="4">
        <v>125.95156545263416</v>
      </c>
      <c r="U77" s="7">
        <v>-6.0553699913223236E-2</v>
      </c>
    </row>
    <row r="78" spans="4:21" x14ac:dyDescent="0.25">
      <c r="S78" s="11">
        <v>60</v>
      </c>
      <c r="T78" s="4">
        <v>166.70267216007375</v>
      </c>
      <c r="U78" s="7">
        <v>0.2434002547928229</v>
      </c>
    </row>
    <row r="79" spans="4:21" x14ac:dyDescent="0.25">
      <c r="S79" s="11">
        <v>61</v>
      </c>
      <c r="T79" s="4">
        <v>172.18268450524553</v>
      </c>
      <c r="U79" s="7">
        <v>0.28427451708246099</v>
      </c>
    </row>
    <row r="80" spans="4:21" x14ac:dyDescent="0.25">
      <c r="S80" s="11">
        <v>62</v>
      </c>
      <c r="T80" s="4">
        <v>132.75820917188267</v>
      </c>
      <c r="U80" s="7">
        <v>-9.7843725525271763E-3</v>
      </c>
    </row>
    <row r="81" spans="19:21" x14ac:dyDescent="0.25">
      <c r="S81" s="11">
        <v>63</v>
      </c>
      <c r="T81" s="4">
        <v>159.8068829343292</v>
      </c>
      <c r="U81" s="7">
        <v>0.1919660098033058</v>
      </c>
    </row>
    <row r="82" spans="19:21" x14ac:dyDescent="0.25">
      <c r="S82" s="11">
        <v>64</v>
      </c>
      <c r="T82" s="4">
        <v>186.77981736852678</v>
      </c>
      <c r="U82" s="7">
        <v>0.3931514684010351</v>
      </c>
    </row>
    <row r="83" spans="19:21" x14ac:dyDescent="0.25">
      <c r="S83" s="11">
        <v>65</v>
      </c>
      <c r="T83" s="4">
        <v>154.49919193587127</v>
      </c>
      <c r="U83" s="7">
        <v>0.15237705628307063</v>
      </c>
    </row>
    <row r="84" spans="19:21" x14ac:dyDescent="0.25">
      <c r="S84" s="11">
        <v>66</v>
      </c>
      <c r="T84" s="4">
        <v>185.89605758834591</v>
      </c>
      <c r="U84" s="7">
        <v>0.38655968962740306</v>
      </c>
    </row>
    <row r="85" spans="19:21" x14ac:dyDescent="0.25">
      <c r="S85" s="11">
        <v>67</v>
      </c>
      <c r="T85" s="4">
        <v>145.06146004556183</v>
      </c>
      <c r="U85" s="7">
        <v>8.1982994298216205E-2</v>
      </c>
    </row>
    <row r="86" spans="19:21" x14ac:dyDescent="0.25">
      <c r="S86" s="11">
        <v>68</v>
      </c>
      <c r="T86" s="4">
        <v>163.50040733239518</v>
      </c>
      <c r="U86" s="7">
        <v>0.21951523332882217</v>
      </c>
    </row>
    <row r="87" spans="19:21" x14ac:dyDescent="0.25">
      <c r="S87" s="11">
        <v>69</v>
      </c>
      <c r="T87" s="4">
        <v>145.65405945659026</v>
      </c>
      <c r="U87" s="7">
        <v>8.6403068968376795E-2</v>
      </c>
    </row>
    <row r="88" spans="19:21" x14ac:dyDescent="0.25">
      <c r="S88" s="11">
        <v>70</v>
      </c>
      <c r="T88" s="4">
        <v>122.84496670449812</v>
      </c>
      <c r="U88" s="7">
        <v>-8.3725168162168129E-2</v>
      </c>
    </row>
    <row r="89" spans="19:21" x14ac:dyDescent="0.25">
      <c r="S89" s="11">
        <v>71</v>
      </c>
      <c r="T89" s="4">
        <v>147.24547170803274</v>
      </c>
      <c r="U89" s="7">
        <v>9.8273079048502687E-2</v>
      </c>
    </row>
    <row r="90" spans="19:21" x14ac:dyDescent="0.25">
      <c r="S90" s="11">
        <v>72</v>
      </c>
      <c r="T90" s="4">
        <v>143.73811753830037</v>
      </c>
      <c r="U90" s="7">
        <v>7.2112460194677208E-2</v>
      </c>
    </row>
    <row r="91" spans="19:21" x14ac:dyDescent="0.25">
      <c r="S91" s="11">
        <v>73</v>
      </c>
      <c r="T91" s="4">
        <v>169.91012946911607</v>
      </c>
      <c r="U91" s="7">
        <v>0.26732400588585126</v>
      </c>
    </row>
    <row r="92" spans="19:21" x14ac:dyDescent="0.25">
      <c r="S92" s="11">
        <v>74</v>
      </c>
      <c r="T92" s="4">
        <v>152.02726054775829</v>
      </c>
      <c r="U92" s="7">
        <v>0.13393943870931824</v>
      </c>
    </row>
    <row r="93" spans="19:21" x14ac:dyDescent="0.25">
      <c r="S93" s="11">
        <v>75</v>
      </c>
      <c r="T93" s="4">
        <v>170.04631405382767</v>
      </c>
      <c r="U93" s="7">
        <v>0.26833977812954179</v>
      </c>
    </row>
    <row r="94" spans="19:21" x14ac:dyDescent="0.25">
      <c r="S94" s="11">
        <v>76</v>
      </c>
      <c r="T94" s="4">
        <v>183.16436430992167</v>
      </c>
      <c r="U94" s="7">
        <v>0.36618456261595944</v>
      </c>
    </row>
    <row r="95" spans="19:21" x14ac:dyDescent="0.25">
      <c r="S95" s="11">
        <v>77</v>
      </c>
      <c r="T95" s="4">
        <v>159.54619172524403</v>
      </c>
      <c r="U95" s="7">
        <v>0.19002156877186582</v>
      </c>
    </row>
    <row r="96" spans="19:21" x14ac:dyDescent="0.25">
      <c r="S96" s="11">
        <v>78</v>
      </c>
      <c r="T96" s="4">
        <v>175.32275543891006</v>
      </c>
      <c r="U96" s="7">
        <v>0.30769564734027055</v>
      </c>
    </row>
    <row r="97" spans="19:21" x14ac:dyDescent="0.25">
      <c r="S97" s="11">
        <v>79</v>
      </c>
      <c r="T97" s="4">
        <v>164.73709952978479</v>
      </c>
      <c r="U97" s="7">
        <v>0.22873946095162823</v>
      </c>
    </row>
    <row r="98" spans="19:21" x14ac:dyDescent="0.25">
      <c r="S98" s="11">
        <v>80</v>
      </c>
      <c r="T98" s="4">
        <v>165.64613583030666</v>
      </c>
      <c r="U98" s="7">
        <v>0.23551977198707141</v>
      </c>
    </row>
    <row r="99" spans="19:21" x14ac:dyDescent="0.25">
      <c r="S99" s="11">
        <v>81</v>
      </c>
      <c r="T99" s="4">
        <v>158.26852419493662</v>
      </c>
      <c r="U99" s="7">
        <v>0.18049171473809666</v>
      </c>
    </row>
    <row r="100" spans="19:21" x14ac:dyDescent="0.25">
      <c r="S100" s="11">
        <v>82</v>
      </c>
      <c r="T100" s="4">
        <v>153.60395453597829</v>
      </c>
      <c r="U100" s="7">
        <v>0.14569966835219139</v>
      </c>
    </row>
    <row r="101" spans="19:21" x14ac:dyDescent="0.25">
      <c r="S101" s="11">
        <v>83</v>
      </c>
      <c r="T101" s="4">
        <v>176.15513964310546</v>
      </c>
      <c r="U101" s="7">
        <v>0.31390422647203309</v>
      </c>
    </row>
    <row r="102" spans="19:21" x14ac:dyDescent="0.25">
      <c r="S102" s="11">
        <v>84</v>
      </c>
      <c r="T102" s="4">
        <v>186.99403527674639</v>
      </c>
      <c r="U102" s="7">
        <v>0.39474927483215039</v>
      </c>
    </row>
    <row r="103" spans="19:21" x14ac:dyDescent="0.25">
      <c r="S103" s="11">
        <v>85</v>
      </c>
      <c r="T103" s="4">
        <v>120.55348546857861</v>
      </c>
      <c r="U103" s="7">
        <v>-0.10081684591199658</v>
      </c>
    </row>
    <row r="104" spans="19:21" x14ac:dyDescent="0.25">
      <c r="S104" s="11">
        <v>86</v>
      </c>
      <c r="T104" s="4">
        <v>151.40704984073204</v>
      </c>
      <c r="U104" s="7">
        <v>0.12931341717559519</v>
      </c>
    </row>
    <row r="105" spans="19:21" x14ac:dyDescent="0.25">
      <c r="S105" s="11">
        <v>87</v>
      </c>
      <c r="T105" s="4">
        <v>130.7698443963321</v>
      </c>
      <c r="U105" s="7">
        <v>-2.4615168223076633E-2</v>
      </c>
    </row>
    <row r="106" spans="19:21" x14ac:dyDescent="0.25">
      <c r="S106" s="11">
        <v>88</v>
      </c>
      <c r="T106" s="4">
        <v>136.45416016227833</v>
      </c>
      <c r="U106" s="7">
        <v>1.7782950416038945E-2</v>
      </c>
    </row>
    <row r="107" spans="19:21" x14ac:dyDescent="0.25">
      <c r="S107" s="11">
        <v>89</v>
      </c>
      <c r="T107" s="4">
        <v>167.64404433015488</v>
      </c>
      <c r="U107" s="7">
        <v>0.2504217522947334</v>
      </c>
    </row>
    <row r="108" spans="19:21" x14ac:dyDescent="0.25">
      <c r="S108" s="11">
        <v>90</v>
      </c>
      <c r="T108" s="4">
        <v>143.11535823970618</v>
      </c>
      <c r="U108" s="7">
        <v>6.7467429251183653E-2</v>
      </c>
    </row>
    <row r="109" spans="19:21" x14ac:dyDescent="0.25">
      <c r="S109" s="11">
        <v>91</v>
      </c>
      <c r="T109" s="4">
        <v>170.95917469142336</v>
      </c>
      <c r="U109" s="7">
        <v>0.27514861409281255</v>
      </c>
    </row>
    <row r="110" spans="19:21" x14ac:dyDescent="0.25">
      <c r="S110" s="11">
        <v>92</v>
      </c>
      <c r="T110" s="4">
        <v>140.11730512699569</v>
      </c>
      <c r="U110" s="7">
        <v>4.5105580122292155E-2</v>
      </c>
    </row>
    <row r="111" spans="19:21" x14ac:dyDescent="0.25">
      <c r="S111" s="11">
        <v>93</v>
      </c>
      <c r="T111" s="4">
        <v>154.1282345955691</v>
      </c>
      <c r="U111" s="7">
        <v>0.14961016331445598</v>
      </c>
    </row>
    <row r="112" spans="19:21" x14ac:dyDescent="0.25">
      <c r="S112" s="11">
        <v>94</v>
      </c>
      <c r="T112" s="4">
        <v>148.26481308167033</v>
      </c>
      <c r="U112" s="7">
        <v>0.10587613248057237</v>
      </c>
    </row>
    <row r="113" spans="19:21" x14ac:dyDescent="0.25">
      <c r="S113" s="11">
        <v>95</v>
      </c>
      <c r="T113" s="4">
        <v>145.37997934661769</v>
      </c>
      <c r="U113" s="7">
        <v>8.4358762934420017E-2</v>
      </c>
    </row>
    <row r="114" spans="19:21" x14ac:dyDescent="0.25">
      <c r="S114" s="11">
        <v>96</v>
      </c>
      <c r="T114" s="4">
        <v>155.78933103316942</v>
      </c>
      <c r="U114" s="7">
        <v>0.16199993311829219</v>
      </c>
    </row>
    <row r="115" spans="19:21" x14ac:dyDescent="0.25">
      <c r="S115" s="11">
        <v>97</v>
      </c>
      <c r="T115" s="4">
        <v>175.95663339113048</v>
      </c>
      <c r="U115" s="7">
        <v>0.31242360998829333</v>
      </c>
    </row>
    <row r="116" spans="19:21" x14ac:dyDescent="0.25">
      <c r="S116" s="11">
        <v>98</v>
      </c>
      <c r="T116" s="4">
        <v>174.31262014639279</v>
      </c>
      <c r="U116" s="7">
        <v>0.30016126013569622</v>
      </c>
    </row>
    <row r="117" spans="19:21" x14ac:dyDescent="0.25">
      <c r="S117" s="11">
        <v>99</v>
      </c>
      <c r="T117" s="4">
        <v>160.00432675741718</v>
      </c>
      <c r="U117" s="7">
        <v>0.19343870185289158</v>
      </c>
    </row>
    <row r="118" spans="19:21" x14ac:dyDescent="0.25">
      <c r="S118" s="11">
        <v>100</v>
      </c>
      <c r="T118" s="4">
        <v>167.87108327052391</v>
      </c>
      <c r="U118" s="7">
        <v>0.25211518811459621</v>
      </c>
    </row>
    <row r="119" spans="19:21" x14ac:dyDescent="0.25">
      <c r="S119" s="11">
        <v>101</v>
      </c>
      <c r="T119" s="4">
        <v>173.92139658362404</v>
      </c>
      <c r="U119" s="7">
        <v>0.29724320566587648</v>
      </c>
    </row>
    <row r="120" spans="19:21" x14ac:dyDescent="0.25">
      <c r="S120" s="11">
        <v>102</v>
      </c>
      <c r="T120" s="4">
        <v>174.31952476004253</v>
      </c>
      <c r="U120" s="7">
        <v>0.30021276020021292</v>
      </c>
    </row>
    <row r="121" spans="19:21" x14ac:dyDescent="0.25">
      <c r="S121" s="11">
        <v>103</v>
      </c>
      <c r="T121" s="4">
        <v>162.60587950114129</v>
      </c>
      <c r="U121" s="7">
        <v>0.21284313792154319</v>
      </c>
    </row>
    <row r="122" spans="19:21" x14ac:dyDescent="0.25">
      <c r="S122" s="11">
        <v>104</v>
      </c>
      <c r="T122" s="4">
        <v>125.85713028741274</v>
      </c>
      <c r="U122" s="7">
        <v>-6.1258071996623031E-2</v>
      </c>
    </row>
    <row r="123" spans="19:21" x14ac:dyDescent="0.25">
      <c r="S123" s="11">
        <v>105</v>
      </c>
      <c r="T123" s="4">
        <v>122.03243757140167</v>
      </c>
      <c r="U123" s="7">
        <v>-8.9785652484510536E-2</v>
      </c>
    </row>
    <row r="124" spans="19:21" x14ac:dyDescent="0.25">
      <c r="S124" s="11">
        <v>106</v>
      </c>
      <c r="T124" s="4">
        <v>130.20727342873653</v>
      </c>
      <c r="U124" s="7">
        <v>-2.881126703411252E-2</v>
      </c>
    </row>
    <row r="125" spans="19:21" x14ac:dyDescent="0.25">
      <c r="S125" s="11">
        <v>107</v>
      </c>
      <c r="T125" s="4">
        <v>129.17383006406141</v>
      </c>
      <c r="U125" s="7">
        <v>-3.6519504258511137E-2</v>
      </c>
    </row>
    <row r="126" spans="19:21" x14ac:dyDescent="0.25">
      <c r="S126" s="11">
        <v>108</v>
      </c>
      <c r="T126" s="4">
        <v>122.51633351224351</v>
      </c>
      <c r="U126" s="7">
        <v>-8.6176374190769622E-2</v>
      </c>
    </row>
    <row r="127" spans="19:21" x14ac:dyDescent="0.25">
      <c r="S127" s="11">
        <v>109</v>
      </c>
      <c r="T127" s="4">
        <v>171.8505785703816</v>
      </c>
      <c r="U127" s="7">
        <v>0.28179740859537272</v>
      </c>
    </row>
    <row r="128" spans="19:21" x14ac:dyDescent="0.25">
      <c r="S128" s="11">
        <v>110</v>
      </c>
      <c r="T128" s="4">
        <v>131.99386226789824</v>
      </c>
      <c r="U128" s="7">
        <v>-1.5485475737314514E-2</v>
      </c>
    </row>
    <row r="129" spans="19:21" x14ac:dyDescent="0.25">
      <c r="S129" s="11">
        <v>111</v>
      </c>
      <c r="T129" s="4">
        <v>131.07004631430149</v>
      </c>
      <c r="U129" s="7">
        <v>-2.237602510403891E-2</v>
      </c>
    </row>
    <row r="130" spans="19:21" x14ac:dyDescent="0.25">
      <c r="S130" s="11">
        <v>112</v>
      </c>
      <c r="T130" s="4">
        <v>188.53869161531372</v>
      </c>
      <c r="U130" s="7">
        <v>0.40627054236826821</v>
      </c>
    </row>
    <row r="131" spans="19:21" x14ac:dyDescent="0.25">
      <c r="S131" s="11">
        <v>113</v>
      </c>
      <c r="T131" s="4">
        <v>138.08043864813104</v>
      </c>
      <c r="U131" s="7">
        <v>2.9913020423145031E-2</v>
      </c>
    </row>
    <row r="132" spans="19:21" x14ac:dyDescent="0.25">
      <c r="S132" s="11">
        <v>114</v>
      </c>
      <c r="T132" s="4">
        <v>126.61468008489322</v>
      </c>
      <c r="U132" s="7">
        <v>-5.5607667003108596E-2</v>
      </c>
    </row>
    <row r="133" spans="19:21" x14ac:dyDescent="0.25">
      <c r="S133" s="11">
        <v>115</v>
      </c>
      <c r="T133" s="4">
        <v>114.5441517489563</v>
      </c>
      <c r="U133" s="7">
        <v>-0.14563920527369056</v>
      </c>
    </row>
    <row r="134" spans="19:21" x14ac:dyDescent="0.25">
      <c r="S134" s="11">
        <v>116</v>
      </c>
      <c r="T134" s="4">
        <v>151.82457903876588</v>
      </c>
      <c r="U134" s="7">
        <v>0.13242767985952031</v>
      </c>
    </row>
    <row r="135" spans="19:21" x14ac:dyDescent="0.25">
      <c r="S135" s="11">
        <v>117</v>
      </c>
      <c r="T135" s="4">
        <v>190.33457639733584</v>
      </c>
      <c r="U135" s="7">
        <v>0.41966567015242662</v>
      </c>
    </row>
    <row r="136" spans="19:21" x14ac:dyDescent="0.25">
      <c r="S136" s="11">
        <v>118</v>
      </c>
      <c r="T136" s="4">
        <v>171.45357038970619</v>
      </c>
      <c r="U136" s="7">
        <v>0.27883620787429098</v>
      </c>
    </row>
    <row r="137" spans="19:21" x14ac:dyDescent="0.25">
      <c r="S137" s="11">
        <v>119</v>
      </c>
      <c r="T137" s="4">
        <v>150.14515665254484</v>
      </c>
      <c r="U137" s="7">
        <v>0.1199012206499952</v>
      </c>
    </row>
    <row r="138" spans="19:21" x14ac:dyDescent="0.25">
      <c r="S138" s="11">
        <v>120</v>
      </c>
      <c r="T138" s="4">
        <v>171.87467275787913</v>
      </c>
      <c r="U138" s="7">
        <v>0.28197712208457615</v>
      </c>
    </row>
    <row r="139" spans="19:21" x14ac:dyDescent="0.25">
      <c r="S139" s="11">
        <v>121</v>
      </c>
      <c r="T139" s="4">
        <v>149.94376519321034</v>
      </c>
      <c r="U139" s="7">
        <v>0.11839908400992272</v>
      </c>
    </row>
    <row r="140" spans="19:21" x14ac:dyDescent="0.25">
      <c r="S140" s="11">
        <v>122</v>
      </c>
      <c r="T140" s="4">
        <v>149.48273780764362</v>
      </c>
      <c r="U140" s="7">
        <v>0.11496037747179555</v>
      </c>
    </row>
    <row r="141" spans="19:21" x14ac:dyDescent="0.25">
      <c r="S141" s="11">
        <v>123</v>
      </c>
      <c r="T141" s="4">
        <v>121.59673101863369</v>
      </c>
      <c r="U141" s="7">
        <v>-9.3035496243501936E-2</v>
      </c>
    </row>
    <row r="142" spans="19:21" x14ac:dyDescent="0.25">
      <c r="S142" s="11">
        <v>124</v>
      </c>
      <c r="T142" s="4">
        <v>150.31628967119582</v>
      </c>
      <c r="U142" s="7">
        <v>0.12117766592970702</v>
      </c>
    </row>
    <row r="143" spans="19:21" x14ac:dyDescent="0.25">
      <c r="S143" s="11">
        <v>125</v>
      </c>
      <c r="T143" s="4">
        <v>192.62569112719899</v>
      </c>
      <c r="U143" s="7">
        <v>0.43675461421047967</v>
      </c>
    </row>
    <row r="144" spans="19:21" x14ac:dyDescent="0.25">
      <c r="S144" s="11">
        <v>126</v>
      </c>
      <c r="T144" s="4">
        <v>141.78091356317071</v>
      </c>
      <c r="U144" s="7">
        <v>5.7514086396440067E-2</v>
      </c>
    </row>
    <row r="145" spans="19:21" x14ac:dyDescent="0.25">
      <c r="S145" s="11">
        <v>127</v>
      </c>
      <c r="T145" s="4">
        <v>151.73494460253698</v>
      </c>
      <c r="U145" s="7">
        <v>0.13175911540640706</v>
      </c>
    </row>
    <row r="146" spans="19:21" x14ac:dyDescent="0.25">
      <c r="S146" s="11">
        <v>128</v>
      </c>
      <c r="T146" s="4">
        <v>139.05616134077198</v>
      </c>
      <c r="U146" s="7">
        <v>3.7190731265547727E-2</v>
      </c>
    </row>
    <row r="147" spans="19:21" x14ac:dyDescent="0.25">
      <c r="S147" s="11">
        <v>129</v>
      </c>
      <c r="T147" s="4">
        <v>162.21511877318423</v>
      </c>
      <c r="U147" s="7">
        <v>0.20992853563947378</v>
      </c>
    </row>
    <row r="148" spans="19:21" x14ac:dyDescent="0.25">
      <c r="S148" s="11">
        <v>130</v>
      </c>
      <c r="T148" s="4">
        <v>152.91976747726463</v>
      </c>
      <c r="U148" s="7">
        <v>0.14059646063447917</v>
      </c>
    </row>
    <row r="149" spans="19:21" x14ac:dyDescent="0.25">
      <c r="S149" s="11">
        <v>131</v>
      </c>
      <c r="T149" s="4">
        <v>155.85925604930634</v>
      </c>
      <c r="U149" s="7">
        <v>0.16252148914228637</v>
      </c>
    </row>
    <row r="150" spans="19:21" x14ac:dyDescent="0.25">
      <c r="S150" s="11">
        <v>132</v>
      </c>
      <c r="T150" s="4">
        <v>162.6249081284688</v>
      </c>
      <c r="U150" s="7">
        <v>0.21298506846027299</v>
      </c>
    </row>
    <row r="151" spans="19:21" x14ac:dyDescent="0.25">
      <c r="S151" s="11">
        <v>133</v>
      </c>
      <c r="T151" s="4">
        <v>117.81999884512865</v>
      </c>
      <c r="U151" s="7">
        <v>-0.12120534910771497</v>
      </c>
    </row>
    <row r="152" spans="19:21" x14ac:dyDescent="0.25">
      <c r="S152" s="11">
        <v>134</v>
      </c>
      <c r="T152" s="4">
        <v>172.2517246692733</v>
      </c>
      <c r="U152" s="7">
        <v>0.28478947318022896</v>
      </c>
    </row>
    <row r="153" spans="19:21" x14ac:dyDescent="0.25">
      <c r="S153" s="11">
        <v>135</v>
      </c>
      <c r="T153" s="4">
        <v>108.36388557875286</v>
      </c>
      <c r="U153" s="7">
        <v>-0.19173651391994584</v>
      </c>
    </row>
    <row r="154" spans="19:21" x14ac:dyDescent="0.25">
      <c r="S154" s="11">
        <v>136</v>
      </c>
      <c r="T154" s="4">
        <v>138.49554886541628</v>
      </c>
      <c r="U154" s="7">
        <v>3.3009240437206655E-2</v>
      </c>
    </row>
    <row r="155" spans="19:21" x14ac:dyDescent="0.25">
      <c r="S155" s="11">
        <v>137</v>
      </c>
      <c r="T155" s="4">
        <v>191.08985317810033</v>
      </c>
      <c r="U155" s="7">
        <v>0.42529912119117141</v>
      </c>
    </row>
    <row r="156" spans="19:21" x14ac:dyDescent="0.25">
      <c r="S156" s="11">
        <v>138</v>
      </c>
      <c r="T156" s="4">
        <v>182.6186054601248</v>
      </c>
      <c r="U156" s="7">
        <v>0.36211386186413663</v>
      </c>
    </row>
    <row r="157" spans="19:21" x14ac:dyDescent="0.25">
      <c r="S157" s="11">
        <v>139</v>
      </c>
      <c r="T157" s="4">
        <v>147.62249841670246</v>
      </c>
      <c r="U157" s="7">
        <v>0.10108524216232162</v>
      </c>
    </row>
    <row r="158" spans="19:21" x14ac:dyDescent="0.25">
      <c r="S158" s="11">
        <v>140</v>
      </c>
      <c r="T158" s="4">
        <v>167.0132344547784</v>
      </c>
      <c r="U158" s="7">
        <v>0.24571667378815842</v>
      </c>
    </row>
    <row r="159" spans="19:21" x14ac:dyDescent="0.25">
      <c r="S159" s="11">
        <v>141</v>
      </c>
      <c r="T159" s="4">
        <v>168.3907835203652</v>
      </c>
      <c r="U159" s="7">
        <v>0.25599152323685548</v>
      </c>
    </row>
    <row r="160" spans="19:21" x14ac:dyDescent="0.25">
      <c r="S160" s="11">
        <v>142</v>
      </c>
      <c r="T160" s="4">
        <v>158.64120124764995</v>
      </c>
      <c r="U160" s="7">
        <v>0.18327143468076335</v>
      </c>
    </row>
    <row r="161" spans="19:21" x14ac:dyDescent="0.25">
      <c r="S161" s="11">
        <v>143</v>
      </c>
      <c r="T161" s="4">
        <v>152.11341667389564</v>
      </c>
      <c r="U161" s="7">
        <v>0.13458205917726307</v>
      </c>
    </row>
    <row r="162" spans="19:21" x14ac:dyDescent="0.25">
      <c r="S162" s="11">
        <v>144</v>
      </c>
      <c r="T162" s="4">
        <v>166.92138951153566</v>
      </c>
      <c r="U162" s="7">
        <v>0.2450316216270283</v>
      </c>
    </row>
    <row r="163" spans="19:21" x14ac:dyDescent="0.25">
      <c r="S163" s="11">
        <v>145</v>
      </c>
      <c r="T163" s="4">
        <v>134.05412551584084</v>
      </c>
      <c r="U163" s="7">
        <v>-1.1840444662603034E-4</v>
      </c>
    </row>
    <row r="164" spans="19:21" x14ac:dyDescent="0.25">
      <c r="S164" s="11">
        <v>146</v>
      </c>
      <c r="T164" s="4">
        <v>153.49708145303029</v>
      </c>
      <c r="U164" s="7">
        <v>0.14490252445014029</v>
      </c>
    </row>
    <row r="165" spans="19:21" x14ac:dyDescent="0.25">
      <c r="S165" s="11">
        <v>147</v>
      </c>
      <c r="T165" s="4">
        <v>219.24506985357991</v>
      </c>
      <c r="U165" s="7">
        <v>0.63530297496516686</v>
      </c>
    </row>
    <row r="166" spans="19:21" x14ac:dyDescent="0.25">
      <c r="S166" s="11">
        <v>148</v>
      </c>
      <c r="T166" s="4">
        <v>180.19655230837265</v>
      </c>
      <c r="U166" s="7">
        <v>0.34404827559015927</v>
      </c>
    </row>
    <row r="167" spans="19:21" x14ac:dyDescent="0.25">
      <c r="S167" s="11">
        <v>149</v>
      </c>
      <c r="T167" s="4">
        <v>165.44569515759133</v>
      </c>
      <c r="U167" s="7">
        <v>0.23402472706490141</v>
      </c>
    </row>
    <row r="168" spans="19:21" x14ac:dyDescent="0.25">
      <c r="S168" s="11">
        <v>150</v>
      </c>
      <c r="T168" s="4">
        <v>144.66606741680732</v>
      </c>
      <c r="U168" s="7">
        <v>7.9033843639944257E-2</v>
      </c>
    </row>
    <row r="169" spans="19:21" x14ac:dyDescent="0.25">
      <c r="S169" s="11">
        <v>151</v>
      </c>
      <c r="T169" s="4">
        <v>141.89905006648252</v>
      </c>
      <c r="U169" s="7">
        <v>5.8395241787741581E-2</v>
      </c>
    </row>
    <row r="170" spans="19:21" x14ac:dyDescent="0.25">
      <c r="S170" s="11">
        <v>152</v>
      </c>
      <c r="T170" s="4">
        <v>171.51158010136572</v>
      </c>
      <c r="U170" s="7">
        <v>0.27926889014220735</v>
      </c>
    </row>
    <row r="171" spans="19:21" x14ac:dyDescent="0.25">
      <c r="S171" s="11">
        <v>153</v>
      </c>
      <c r="T171" s="4">
        <v>156.71255970100779</v>
      </c>
      <c r="U171" s="7">
        <v>0.16888610204376664</v>
      </c>
    </row>
    <row r="172" spans="19:21" x14ac:dyDescent="0.25">
      <c r="S172" s="11">
        <v>154</v>
      </c>
      <c r="T172" s="4">
        <v>194.1455120505882</v>
      </c>
      <c r="U172" s="7">
        <v>0.44809063959564566</v>
      </c>
    </row>
    <row r="173" spans="19:21" x14ac:dyDescent="0.25">
      <c r="S173" s="11">
        <v>155</v>
      </c>
      <c r="T173" s="4">
        <v>132.7835103780053</v>
      </c>
      <c r="U173" s="7">
        <v>-9.5956561646505234E-3</v>
      </c>
    </row>
    <row r="174" spans="19:21" x14ac:dyDescent="0.25">
      <c r="S174" s="11">
        <v>156</v>
      </c>
      <c r="T174" s="4">
        <v>132.06175476488332</v>
      </c>
      <c r="U174" s="7">
        <v>-1.4979079847219134E-2</v>
      </c>
    </row>
    <row r="175" spans="19:21" x14ac:dyDescent="0.25">
      <c r="S175" s="11">
        <v>157</v>
      </c>
      <c r="T175" s="4">
        <v>139.30156941806831</v>
      </c>
      <c r="U175" s="7">
        <v>3.9021178623616981E-2</v>
      </c>
    </row>
    <row r="176" spans="19:21" x14ac:dyDescent="0.25">
      <c r="S176" s="11">
        <v>158</v>
      </c>
      <c r="T176" s="4">
        <v>168.50389341095465</v>
      </c>
      <c r="U176" s="7">
        <v>0.25683518617852363</v>
      </c>
    </row>
    <row r="177" spans="19:21" x14ac:dyDescent="0.25">
      <c r="S177" s="11">
        <v>159</v>
      </c>
      <c r="T177" s="4">
        <v>158.90567298152558</v>
      </c>
      <c r="U177" s="7">
        <v>0.1852440738534018</v>
      </c>
    </row>
    <row r="178" spans="19:21" x14ac:dyDescent="0.25">
      <c r="S178" s="11">
        <v>160</v>
      </c>
      <c r="T178" s="4">
        <v>184.86845257063686</v>
      </c>
      <c r="U178" s="7">
        <v>0.37889499940804705</v>
      </c>
    </row>
    <row r="179" spans="19:21" x14ac:dyDescent="0.25">
      <c r="S179" s="11">
        <v>161</v>
      </c>
      <c r="T179" s="4">
        <v>141.76301756343844</v>
      </c>
      <c r="U179" s="7">
        <v>5.7380603889299886E-2</v>
      </c>
    </row>
    <row r="180" spans="19:21" x14ac:dyDescent="0.25">
      <c r="S180" s="11">
        <v>162</v>
      </c>
      <c r="T180" s="4">
        <v>131.21050700098684</v>
      </c>
      <c r="U180" s="7">
        <v>-2.1328358312919793E-2</v>
      </c>
    </row>
    <row r="181" spans="19:21" x14ac:dyDescent="0.25">
      <c r="S181" s="11">
        <v>163</v>
      </c>
      <c r="T181" s="4">
        <v>171.07571657328413</v>
      </c>
      <c r="U181" s="7">
        <v>0.27601787553728752</v>
      </c>
    </row>
    <row r="182" spans="19:21" x14ac:dyDescent="0.25">
      <c r="S182" s="11">
        <v>164</v>
      </c>
      <c r="T182" s="4">
        <v>160.21759495438178</v>
      </c>
      <c r="U182" s="7">
        <v>0.19502942458702011</v>
      </c>
    </row>
    <row r="183" spans="19:21" x14ac:dyDescent="0.25">
      <c r="S183" s="11">
        <v>165</v>
      </c>
      <c r="T183" s="4">
        <v>172.08292381071431</v>
      </c>
      <c r="U183" s="7">
        <v>0.28353042299331932</v>
      </c>
    </row>
    <row r="184" spans="19:21" x14ac:dyDescent="0.25">
      <c r="S184" s="11">
        <v>166</v>
      </c>
      <c r="T184" s="4">
        <v>145.9021026249311</v>
      </c>
      <c r="U184" s="7">
        <v>8.8253170917663271E-2</v>
      </c>
    </row>
    <row r="185" spans="19:21" x14ac:dyDescent="0.25">
      <c r="S185" s="11">
        <v>167</v>
      </c>
      <c r="T185" s="4">
        <v>111.19568960119535</v>
      </c>
      <c r="U185" s="7">
        <v>-0.17061468187368267</v>
      </c>
    </row>
    <row r="186" spans="19:21" x14ac:dyDescent="0.25">
      <c r="S186" s="11">
        <v>168</v>
      </c>
      <c r="T186" s="4">
        <v>191.43919977917665</v>
      </c>
      <c r="U186" s="7">
        <v>0.42790482419017417</v>
      </c>
    </row>
    <row r="187" spans="19:21" x14ac:dyDescent="0.25">
      <c r="S187" s="11">
        <v>169</v>
      </c>
      <c r="T187" s="4">
        <v>173.74257283778238</v>
      </c>
      <c r="U187" s="7">
        <v>0.29590939686568496</v>
      </c>
    </row>
    <row r="188" spans="19:21" x14ac:dyDescent="0.25">
      <c r="S188" s="11">
        <v>170</v>
      </c>
      <c r="T188" s="4">
        <v>134.38766449094851</v>
      </c>
      <c r="U188" s="7">
        <v>2.369392786965907E-3</v>
      </c>
    </row>
    <row r="189" spans="19:21" x14ac:dyDescent="0.25">
      <c r="S189" s="11">
        <v>171</v>
      </c>
      <c r="T189" s="4">
        <v>149.02865774501595</v>
      </c>
      <c r="U189" s="7">
        <v>0.11157348955781266</v>
      </c>
    </row>
    <row r="190" spans="19:21" x14ac:dyDescent="0.25">
      <c r="S190" s="11">
        <v>172</v>
      </c>
      <c r="T190" s="4">
        <v>105.64613091262081</v>
      </c>
      <c r="U190" s="7">
        <v>-0.21200767574684265</v>
      </c>
    </row>
    <row r="191" spans="19:21" x14ac:dyDescent="0.25">
      <c r="S191" s="11">
        <v>173</v>
      </c>
      <c r="T191" s="4">
        <v>212.61278609704181</v>
      </c>
      <c r="U191" s="7">
        <v>0.58583416198285843</v>
      </c>
    </row>
    <row r="192" spans="19:21" x14ac:dyDescent="0.25">
      <c r="S192" s="11">
        <v>174</v>
      </c>
      <c r="T192" s="4">
        <v>203.58339553068359</v>
      </c>
      <c r="U192" s="7">
        <v>0.51848583225690748</v>
      </c>
    </row>
    <row r="193" spans="19:21" x14ac:dyDescent="0.25">
      <c r="S193" s="11">
        <v>175</v>
      </c>
      <c r="T193" s="4">
        <v>146.93787520554187</v>
      </c>
      <c r="U193" s="7">
        <v>9.5978781275019687E-2</v>
      </c>
    </row>
    <row r="194" spans="19:21" x14ac:dyDescent="0.25">
      <c r="S194" s="11">
        <v>176</v>
      </c>
      <c r="T194" s="4">
        <v>183.13800035735827</v>
      </c>
      <c r="U194" s="7">
        <v>0.36598791942536191</v>
      </c>
    </row>
    <row r="195" spans="19:21" x14ac:dyDescent="0.25">
      <c r="S195" s="11">
        <v>177</v>
      </c>
      <c r="T195" s="4">
        <v>174.280085931267</v>
      </c>
      <c r="U195" s="7">
        <v>0.29991859425126433</v>
      </c>
    </row>
    <row r="196" spans="19:21" x14ac:dyDescent="0.25">
      <c r="S196" s="11">
        <v>178</v>
      </c>
      <c r="T196" s="4">
        <v>153.30008689496984</v>
      </c>
      <c r="U196" s="7">
        <v>0.1434331833741318</v>
      </c>
    </row>
    <row r="197" spans="19:21" x14ac:dyDescent="0.25">
      <c r="S197" s="11">
        <v>179</v>
      </c>
      <c r="T197" s="4">
        <v>197.19638233572277</v>
      </c>
      <c r="U197" s="7">
        <v>0.47084644093177275</v>
      </c>
    </row>
    <row r="198" spans="19:21" x14ac:dyDescent="0.25">
      <c r="S198" s="11">
        <v>180</v>
      </c>
      <c r="T198" s="4">
        <v>133.55759328960966</v>
      </c>
      <c r="U198" s="7">
        <v>-3.8219341417941033E-3</v>
      </c>
    </row>
    <row r="199" spans="19:21" x14ac:dyDescent="0.25">
      <c r="S199" s="11">
        <v>181</v>
      </c>
      <c r="T199" s="4">
        <v>173.39433031812743</v>
      </c>
      <c r="U199" s="7">
        <v>0.29331192897835034</v>
      </c>
    </row>
    <row r="200" spans="19:21" x14ac:dyDescent="0.25">
      <c r="S200" s="11">
        <v>182</v>
      </c>
      <c r="T200" s="4">
        <v>126.4184706515675</v>
      </c>
      <c r="U200" s="7">
        <v>-5.7071151998452252E-2</v>
      </c>
    </row>
    <row r="201" spans="19:21" x14ac:dyDescent="0.25">
      <c r="S201" s="11">
        <v>183</v>
      </c>
      <c r="T201" s="4">
        <v>190.10825752066887</v>
      </c>
      <c r="U201" s="7">
        <v>0.41797760513663662</v>
      </c>
    </row>
    <row r="202" spans="19:21" x14ac:dyDescent="0.25">
      <c r="S202" s="11">
        <v>184</v>
      </c>
      <c r="T202" s="4">
        <v>155.55738773036006</v>
      </c>
      <c r="U202" s="7">
        <v>0.16026991668799928</v>
      </c>
    </row>
    <row r="203" spans="19:21" x14ac:dyDescent="0.25">
      <c r="S203" s="11">
        <v>185</v>
      </c>
      <c r="T203" s="4">
        <v>170.33491381307579</v>
      </c>
      <c r="U203" s="7">
        <v>0.27049238318099356</v>
      </c>
    </row>
    <row r="204" spans="19:21" x14ac:dyDescent="0.25">
      <c r="S204" s="11">
        <v>186</v>
      </c>
      <c r="T204" s="4">
        <v>168.97089271508611</v>
      </c>
      <c r="U204" s="7">
        <v>0.26031843600422255</v>
      </c>
    </row>
    <row r="205" spans="19:21" x14ac:dyDescent="0.25">
      <c r="S205" s="11">
        <v>187</v>
      </c>
      <c r="T205" s="4">
        <v>146.46338640530706</v>
      </c>
      <c r="U205" s="7">
        <v>9.2439668869300107E-2</v>
      </c>
    </row>
    <row r="206" spans="19:21" x14ac:dyDescent="0.25">
      <c r="S206" s="11">
        <v>188</v>
      </c>
      <c r="T206" s="4">
        <v>136.48142152839935</v>
      </c>
      <c r="U206" s="7">
        <v>1.7986287226071207E-2</v>
      </c>
    </row>
    <row r="207" spans="19:21" x14ac:dyDescent="0.25">
      <c r="S207" s="11">
        <v>189</v>
      </c>
      <c r="T207" s="4">
        <v>149.62032695993128</v>
      </c>
      <c r="U207" s="7">
        <v>0.1159866260903355</v>
      </c>
    </row>
    <row r="208" spans="19:21" x14ac:dyDescent="0.25">
      <c r="S208" s="11">
        <v>190</v>
      </c>
      <c r="T208" s="4">
        <v>165.19131812300381</v>
      </c>
      <c r="U208" s="7">
        <v>0.23212738213622597</v>
      </c>
    </row>
    <row r="209" spans="19:21" x14ac:dyDescent="0.25">
      <c r="S209" s="11">
        <v>191</v>
      </c>
      <c r="T209" s="4">
        <v>155.77969040580433</v>
      </c>
      <c r="U209" s="7">
        <v>0.16192802570153164</v>
      </c>
    </row>
    <row r="210" spans="19:21" x14ac:dyDescent="0.25">
      <c r="S210" s="11">
        <v>192</v>
      </c>
      <c r="T210" s="4">
        <v>151.27147513017326</v>
      </c>
      <c r="U210" s="7">
        <v>0.12830219385524932</v>
      </c>
    </row>
    <row r="211" spans="19:21" x14ac:dyDescent="0.25">
      <c r="S211" s="11">
        <v>193</v>
      </c>
      <c r="T211" s="4">
        <v>163.59852154457997</v>
      </c>
      <c r="U211" s="7">
        <v>0.22024704665159978</v>
      </c>
    </row>
    <row r="212" spans="19:21" x14ac:dyDescent="0.25">
      <c r="S212" s="11">
        <v>194</v>
      </c>
      <c r="T212" s="4">
        <v>130.68262475649195</v>
      </c>
      <c r="U212" s="7">
        <v>-2.5265721216588655E-2</v>
      </c>
    </row>
    <row r="213" spans="19:21" x14ac:dyDescent="0.25">
      <c r="S213" s="11">
        <v>195</v>
      </c>
      <c r="T213" s="4">
        <v>169.93940954012513</v>
      </c>
      <c r="U213" s="7">
        <v>0.26754239979208716</v>
      </c>
    </row>
    <row r="214" spans="19:21" x14ac:dyDescent="0.25">
      <c r="S214" s="11">
        <v>196</v>
      </c>
      <c r="T214" s="4">
        <v>141.79567549925193</v>
      </c>
      <c r="U214" s="7">
        <v>5.7624192580382871E-2</v>
      </c>
    </row>
    <row r="215" spans="19:21" x14ac:dyDescent="0.25">
      <c r="S215" s="11">
        <v>197</v>
      </c>
      <c r="T215" s="4">
        <v>151.76940765925931</v>
      </c>
      <c r="U215" s="7">
        <v>0.13201616811560624</v>
      </c>
    </row>
    <row r="216" spans="19:21" x14ac:dyDescent="0.25">
      <c r="S216" s="11">
        <v>198</v>
      </c>
      <c r="T216" s="4">
        <v>146.94372085339427</v>
      </c>
      <c r="U216" s="7">
        <v>9.6022382735841516E-2</v>
      </c>
    </row>
    <row r="217" spans="19:21" x14ac:dyDescent="0.25">
      <c r="S217" s="11">
        <v>199</v>
      </c>
      <c r="T217" s="4">
        <v>137.72842054082855</v>
      </c>
      <c r="U217" s="7">
        <v>2.7287391219725121E-2</v>
      </c>
    </row>
    <row r="218" spans="19:21" x14ac:dyDescent="0.25">
      <c r="S218" s="11">
        <v>200</v>
      </c>
      <c r="T218" s="4">
        <v>198.66124178139739</v>
      </c>
      <c r="U218" s="7">
        <v>0.48177252018645045</v>
      </c>
    </row>
    <row r="219" spans="19:21" x14ac:dyDescent="0.25">
      <c r="S219" s="11">
        <v>201</v>
      </c>
      <c r="T219" s="4">
        <v>171.8349132595238</v>
      </c>
      <c r="U219" s="7">
        <v>0.28168056432851363</v>
      </c>
    </row>
    <row r="220" spans="19:21" x14ac:dyDescent="0.25">
      <c r="S220" s="11">
        <v>202</v>
      </c>
      <c r="T220" s="4">
        <v>124.00305631153387</v>
      </c>
      <c r="U220" s="7">
        <v>-7.508722076874863E-2</v>
      </c>
    </row>
    <row r="221" spans="19:21" x14ac:dyDescent="0.25">
      <c r="S221" s="11">
        <v>203</v>
      </c>
      <c r="T221" s="4">
        <v>164.39302966511983</v>
      </c>
      <c r="U221" s="7">
        <v>0.22617311602237522</v>
      </c>
    </row>
    <row r="222" spans="19:21" x14ac:dyDescent="0.25">
      <c r="S222" s="11">
        <v>204</v>
      </c>
      <c r="T222" s="4">
        <v>188.88810899795112</v>
      </c>
      <c r="U222" s="7">
        <v>0.40887677331208416</v>
      </c>
    </row>
    <row r="223" spans="19:21" x14ac:dyDescent="0.25">
      <c r="S223" s="11">
        <v>205</v>
      </c>
      <c r="T223" s="4">
        <v>156.02527339902804</v>
      </c>
      <c r="U223" s="7">
        <v>0.16375977772080286</v>
      </c>
    </row>
    <row r="224" spans="19:21" x14ac:dyDescent="0.25">
      <c r="S224" s="11">
        <v>206</v>
      </c>
      <c r="T224" s="4">
        <v>167.09337782963581</v>
      </c>
      <c r="U224" s="7">
        <v>0.24631444640587619</v>
      </c>
    </row>
    <row r="225" spans="19:21" x14ac:dyDescent="0.25">
      <c r="S225" s="11">
        <v>207</v>
      </c>
      <c r="T225" s="4">
        <v>148.09333531323753</v>
      </c>
      <c r="U225" s="7">
        <v>0.10459711578457176</v>
      </c>
    </row>
    <row r="226" spans="19:21" x14ac:dyDescent="0.25">
      <c r="S226" s="11">
        <v>208</v>
      </c>
      <c r="T226" s="4">
        <v>150.27846981663791</v>
      </c>
      <c r="U226" s="7">
        <v>0.12089557556976138</v>
      </c>
    </row>
    <row r="227" spans="19:21" x14ac:dyDescent="0.25">
      <c r="S227" s="11">
        <v>209</v>
      </c>
      <c r="T227" s="4">
        <v>172.19046384669227</v>
      </c>
      <c r="U227" s="7">
        <v>0.28433254155808374</v>
      </c>
    </row>
    <row r="228" spans="19:21" x14ac:dyDescent="0.25">
      <c r="S228" s="11">
        <v>210</v>
      </c>
      <c r="T228" s="4">
        <v>117.17009340342831</v>
      </c>
      <c r="U228" s="7">
        <v>-0.1260528574369485</v>
      </c>
    </row>
    <row r="229" spans="19:21" x14ac:dyDescent="0.25">
      <c r="S229" s="11">
        <v>211</v>
      </c>
      <c r="T229" s="4">
        <v>188.18480340076158</v>
      </c>
      <c r="U229" s="7">
        <v>0.40363096442725133</v>
      </c>
    </row>
    <row r="230" spans="19:21" x14ac:dyDescent="0.25">
      <c r="S230" s="11">
        <v>212</v>
      </c>
      <c r="T230" s="4">
        <v>154.78414959966602</v>
      </c>
      <c r="U230" s="7">
        <v>0.15450249570870467</v>
      </c>
    </row>
    <row r="231" spans="19:21" x14ac:dyDescent="0.25">
      <c r="S231" s="11">
        <v>213</v>
      </c>
      <c r="T231" s="4">
        <v>172.63932025716406</v>
      </c>
      <c r="U231" s="7">
        <v>0.28768046734664021</v>
      </c>
    </row>
    <row r="232" spans="19:21" x14ac:dyDescent="0.25">
      <c r="S232" s="11">
        <v>214</v>
      </c>
      <c r="T232" s="4">
        <v>167.57232350886255</v>
      </c>
      <c r="U232" s="7">
        <v>0.24988680173687294</v>
      </c>
    </row>
    <row r="233" spans="19:21" x14ac:dyDescent="0.25">
      <c r="S233" s="11">
        <v>215</v>
      </c>
      <c r="T233" s="4">
        <v>183.91159665739121</v>
      </c>
      <c r="U233" s="7">
        <v>0.371758011914606</v>
      </c>
    </row>
    <row r="234" spans="19:21" x14ac:dyDescent="0.25">
      <c r="S234" s="11">
        <v>216</v>
      </c>
      <c r="T234" s="4">
        <v>166.40965353111372</v>
      </c>
      <c r="U234" s="7">
        <v>0.24121469031933862</v>
      </c>
    </row>
    <row r="235" spans="19:21" x14ac:dyDescent="0.25">
      <c r="S235" s="11">
        <v>217</v>
      </c>
      <c r="T235" s="4">
        <v>116.67324278837218</v>
      </c>
      <c r="U235" s="7">
        <v>-0.12975876192755886</v>
      </c>
    </row>
    <row r="236" spans="19:21" x14ac:dyDescent="0.25">
      <c r="S236" s="11">
        <v>218</v>
      </c>
      <c r="T236" s="4">
        <v>130.90780193943189</v>
      </c>
      <c r="U236" s="7">
        <v>-2.3586171854763194E-2</v>
      </c>
    </row>
    <row r="237" spans="19:21" x14ac:dyDescent="0.25">
      <c r="S237" s="11">
        <v>219</v>
      </c>
      <c r="T237" s="4">
        <v>143.4887912275511</v>
      </c>
      <c r="U237" s="7">
        <v>7.0252787555389773E-2</v>
      </c>
    </row>
    <row r="238" spans="19:21" x14ac:dyDescent="0.25">
      <c r="S238" s="11">
        <v>220</v>
      </c>
      <c r="T238" s="4">
        <v>171.30649168241752</v>
      </c>
      <c r="U238" s="7">
        <v>0.2777391786560568</v>
      </c>
    </row>
    <row r="239" spans="19:21" x14ac:dyDescent="0.25">
      <c r="S239" s="11">
        <v>221</v>
      </c>
      <c r="T239" s="4">
        <v>158.87315024871771</v>
      </c>
      <c r="U239" s="7">
        <v>0.18500149361317009</v>
      </c>
    </row>
    <row r="240" spans="19:21" x14ac:dyDescent="0.25">
      <c r="S240" s="11">
        <v>222</v>
      </c>
      <c r="T240" s="4">
        <v>143.57810425622299</v>
      </c>
      <c r="U240" s="7">
        <v>7.0918954696971737E-2</v>
      </c>
    </row>
    <row r="241" spans="19:21" x14ac:dyDescent="0.25">
      <c r="S241" s="11">
        <v>223</v>
      </c>
      <c r="T241" s="4">
        <v>168.76271410676202</v>
      </c>
      <c r="U241" s="7">
        <v>0.25876567544388762</v>
      </c>
    </row>
    <row r="242" spans="19:21" x14ac:dyDescent="0.25">
      <c r="S242" s="11">
        <v>224</v>
      </c>
      <c r="T242" s="4">
        <v>158.69833091738764</v>
      </c>
      <c r="U242" s="7">
        <v>0.18369755290063128</v>
      </c>
    </row>
    <row r="243" spans="19:21" x14ac:dyDescent="0.25">
      <c r="S243" s="11">
        <v>225</v>
      </c>
      <c r="T243" s="4">
        <v>141.8755968638628</v>
      </c>
      <c r="U243" s="7">
        <v>5.8220309270252901E-2</v>
      </c>
    </row>
    <row r="244" spans="19:21" x14ac:dyDescent="0.25">
      <c r="S244" s="11">
        <v>226</v>
      </c>
      <c r="T244" s="4">
        <v>186.66500954636984</v>
      </c>
      <c r="U244" s="7">
        <v>0.39229514094405804</v>
      </c>
    </row>
    <row r="245" spans="19:21" x14ac:dyDescent="0.25">
      <c r="S245" s="11">
        <v>227</v>
      </c>
      <c r="T245" s="4">
        <v>149.35466347867353</v>
      </c>
      <c r="U245" s="7">
        <v>0.11400509792402125</v>
      </c>
    </row>
    <row r="246" spans="19:21" x14ac:dyDescent="0.25">
      <c r="S246" s="11">
        <v>228</v>
      </c>
      <c r="T246" s="4">
        <v>131.49976637404893</v>
      </c>
      <c r="U246" s="7">
        <v>-1.9170833340427129E-2</v>
      </c>
    </row>
    <row r="247" spans="19:21" x14ac:dyDescent="0.25">
      <c r="S247" s="11">
        <v>229</v>
      </c>
      <c r="T247" s="4">
        <v>160.57195092246266</v>
      </c>
      <c r="U247" s="7">
        <v>0.19767249140346577</v>
      </c>
    </row>
    <row r="248" spans="19:21" x14ac:dyDescent="0.25">
      <c r="S248" s="11">
        <v>230</v>
      </c>
      <c r="T248" s="4">
        <v>156.98085963963371</v>
      </c>
      <c r="U248" s="7">
        <v>0.17088729499241984</v>
      </c>
    </row>
    <row r="249" spans="19:21" x14ac:dyDescent="0.25">
      <c r="S249" s="11">
        <v>231</v>
      </c>
      <c r="T249" s="4">
        <v>104.62953853181909</v>
      </c>
      <c r="U249" s="7">
        <v>-0.21959022501813164</v>
      </c>
    </row>
    <row r="250" spans="19:21" x14ac:dyDescent="0.25">
      <c r="S250" s="11">
        <v>232</v>
      </c>
      <c r="T250" s="4">
        <v>149.7543884615495</v>
      </c>
      <c r="U250" s="7">
        <v>0.11698656270268892</v>
      </c>
    </row>
    <row r="251" spans="19:21" x14ac:dyDescent="0.25">
      <c r="S251" s="11">
        <v>233</v>
      </c>
      <c r="T251" s="4">
        <v>157.56238701697859</v>
      </c>
      <c r="U251" s="7">
        <v>0.17522478568642197</v>
      </c>
    </row>
    <row r="252" spans="19:21" x14ac:dyDescent="0.25">
      <c r="S252" s="11">
        <v>234</v>
      </c>
      <c r="T252" s="4">
        <v>188.43932102251966</v>
      </c>
      <c r="U252" s="7">
        <v>0.40552935796613476</v>
      </c>
    </row>
    <row r="253" spans="19:21" x14ac:dyDescent="0.25">
      <c r="S253" s="11">
        <v>235</v>
      </c>
      <c r="T253" s="4">
        <v>166.04359094092663</v>
      </c>
      <c r="U253" s="7">
        <v>0.23848430626483652</v>
      </c>
    </row>
    <row r="254" spans="19:21" x14ac:dyDescent="0.25">
      <c r="S254" s="11">
        <v>236</v>
      </c>
      <c r="T254" s="4">
        <v>216.53369541777553</v>
      </c>
      <c r="U254" s="7">
        <v>0.61507940193761135</v>
      </c>
    </row>
    <row r="255" spans="19:21" x14ac:dyDescent="0.25">
      <c r="S255" s="11">
        <v>237</v>
      </c>
      <c r="T255" s="4">
        <v>131.43217073792914</v>
      </c>
      <c r="U255" s="7">
        <v>-1.9675015007614371E-2</v>
      </c>
    </row>
    <row r="256" spans="19:21" x14ac:dyDescent="0.25">
      <c r="S256" s="11">
        <v>238</v>
      </c>
      <c r="T256" s="4">
        <v>185.54545572926165</v>
      </c>
      <c r="U256" s="7">
        <v>0.38394462392229167</v>
      </c>
    </row>
    <row r="257" spans="19:21" x14ac:dyDescent="0.25">
      <c r="S257" s="11">
        <v>239</v>
      </c>
      <c r="T257" s="4">
        <v>163.6770537688584</v>
      </c>
      <c r="U257" s="7">
        <v>0.22083280203519351</v>
      </c>
    </row>
    <row r="258" spans="19:21" x14ac:dyDescent="0.25">
      <c r="S258" s="11">
        <v>240</v>
      </c>
      <c r="T258" s="4">
        <v>136.86158012989156</v>
      </c>
      <c r="U258" s="7">
        <v>2.0821810471332691E-2</v>
      </c>
    </row>
    <row r="259" spans="19:21" x14ac:dyDescent="0.25">
      <c r="S259" s="11">
        <v>241</v>
      </c>
      <c r="T259" s="4">
        <v>171.33634719628452</v>
      </c>
      <c r="U259" s="7">
        <v>0.27796186466983319</v>
      </c>
    </row>
    <row r="260" spans="19:21" x14ac:dyDescent="0.25">
      <c r="S260" s="11">
        <v>242</v>
      </c>
      <c r="T260" s="4">
        <v>126.38355116510299</v>
      </c>
      <c r="U260" s="7">
        <v>-5.7331609121332172E-2</v>
      </c>
    </row>
    <row r="261" spans="19:21" x14ac:dyDescent="0.25">
      <c r="S261" s="11">
        <v>243</v>
      </c>
      <c r="T261" s="4">
        <v>139.2586404325935</v>
      </c>
      <c r="U261" s="7">
        <v>3.8700980328138401E-2</v>
      </c>
    </row>
    <row r="262" spans="19:21" x14ac:dyDescent="0.25">
      <c r="S262" s="11">
        <v>244</v>
      </c>
      <c r="T262" s="4">
        <v>159.52276207151013</v>
      </c>
      <c r="U262" s="7">
        <v>0.1898468119005754</v>
      </c>
    </row>
    <row r="263" spans="19:21" x14ac:dyDescent="0.25">
      <c r="S263" s="11">
        <v>245</v>
      </c>
      <c r="T263" s="4">
        <v>181.31656483653117</v>
      </c>
      <c r="U263" s="7">
        <v>0.35240221404140515</v>
      </c>
    </row>
    <row r="264" spans="19:21" x14ac:dyDescent="0.25">
      <c r="S264" s="11">
        <v>246</v>
      </c>
      <c r="T264" s="4">
        <v>223.92205477826883</v>
      </c>
      <c r="U264" s="7">
        <v>0.67018762421323808</v>
      </c>
    </row>
    <row r="265" spans="19:21" x14ac:dyDescent="0.25">
      <c r="S265" s="11">
        <v>247</v>
      </c>
      <c r="T265" s="4">
        <v>193.9706669626103</v>
      </c>
      <c r="U265" s="7">
        <v>0.4467865067696748</v>
      </c>
    </row>
    <row r="266" spans="19:21" x14ac:dyDescent="0.25">
      <c r="S266" s="11">
        <v>248</v>
      </c>
      <c r="T266" s="4">
        <v>157.72183605807791</v>
      </c>
      <c r="U266" s="7">
        <v>0.17641408262905878</v>
      </c>
    </row>
    <row r="267" spans="19:21" x14ac:dyDescent="0.25">
      <c r="S267" s="11">
        <v>249</v>
      </c>
      <c r="T267" s="4">
        <v>146.29149390669437</v>
      </c>
      <c r="U267" s="7">
        <v>9.1157558787904769E-2</v>
      </c>
    </row>
    <row r="268" spans="19:21" x14ac:dyDescent="0.25">
      <c r="S268" s="11">
        <v>250</v>
      </c>
      <c r="T268" s="4">
        <v>177.65073191259972</v>
      </c>
      <c r="U268" s="7">
        <v>0.32505953541135035</v>
      </c>
    </row>
    <row r="269" spans="19:21" x14ac:dyDescent="0.25">
      <c r="S269" s="11">
        <v>251</v>
      </c>
      <c r="T269" s="4">
        <v>139.07952166658777</v>
      </c>
      <c r="U269" s="7">
        <v>3.7364971034443029E-2</v>
      </c>
    </row>
    <row r="270" spans="19:21" x14ac:dyDescent="0.25">
      <c r="S270" s="11">
        <v>252</v>
      </c>
      <c r="T270" s="4">
        <v>143.00902501654599</v>
      </c>
      <c r="U270" s="7">
        <v>6.6674312050018614E-2</v>
      </c>
    </row>
    <row r="271" spans="19:21" x14ac:dyDescent="0.25">
      <c r="S271" s="11">
        <v>253</v>
      </c>
      <c r="T271" s="4">
        <v>112.54906755440481</v>
      </c>
      <c r="U271" s="7">
        <v>-0.16052011968072788</v>
      </c>
    </row>
    <row r="272" spans="19:21" x14ac:dyDescent="0.25">
      <c r="S272" s="11">
        <v>254</v>
      </c>
      <c r="T272" s="4">
        <v>206.18241256895502</v>
      </c>
      <c r="U272" s="7">
        <v>0.53787135503061845</v>
      </c>
    </row>
    <row r="273" spans="19:21" x14ac:dyDescent="0.25">
      <c r="S273" s="11">
        <v>255</v>
      </c>
      <c r="T273" s="4">
        <v>132.00303068072171</v>
      </c>
      <c r="U273" s="7">
        <v>-1.5417090469741823E-2</v>
      </c>
    </row>
    <row r="274" spans="19:21" x14ac:dyDescent="0.25">
      <c r="S274" s="11">
        <v>256</v>
      </c>
      <c r="T274" s="4">
        <v>121.87350014360716</v>
      </c>
      <c r="U274" s="7">
        <v>-9.0971133410851279E-2</v>
      </c>
    </row>
    <row r="275" spans="19:21" x14ac:dyDescent="0.25">
      <c r="S275" s="11">
        <v>257</v>
      </c>
      <c r="T275" s="4">
        <v>164.68804269273508</v>
      </c>
      <c r="U275" s="7">
        <v>0.22837355629697242</v>
      </c>
    </row>
    <row r="276" spans="19:21" x14ac:dyDescent="0.25">
      <c r="S276" s="11">
        <v>258</v>
      </c>
      <c r="T276" s="4">
        <v>186.94599162625767</v>
      </c>
      <c r="U276" s="7">
        <v>0.39439092732347047</v>
      </c>
    </row>
    <row r="277" spans="19:21" x14ac:dyDescent="0.25">
      <c r="S277" s="11">
        <v>259</v>
      </c>
      <c r="T277" s="4">
        <v>119.2708742534214</v>
      </c>
      <c r="U277" s="7">
        <v>-0.11038357385379727</v>
      </c>
    </row>
    <row r="278" spans="19:21" x14ac:dyDescent="0.25">
      <c r="S278" s="11">
        <v>260</v>
      </c>
      <c r="T278" s="4">
        <v>155.31626251818474</v>
      </c>
      <c r="U278" s="7">
        <v>0.1584714143222552</v>
      </c>
    </row>
    <row r="279" spans="19:21" x14ac:dyDescent="0.25">
      <c r="S279" s="11">
        <v>261</v>
      </c>
      <c r="T279" s="4">
        <v>178.7691551133652</v>
      </c>
      <c r="U279" s="7">
        <v>0.33340161940303736</v>
      </c>
    </row>
    <row r="280" spans="19:21" x14ac:dyDescent="0.25">
      <c r="S280" s="11">
        <v>262</v>
      </c>
      <c r="T280" s="4">
        <v>129.81165101409155</v>
      </c>
      <c r="U280" s="7">
        <v>-3.1762131617128708E-2</v>
      </c>
    </row>
    <row r="281" spans="19:21" x14ac:dyDescent="0.25">
      <c r="S281" s="11">
        <v>263</v>
      </c>
      <c r="T281" s="4">
        <v>183.27581890223479</v>
      </c>
      <c r="U281" s="7">
        <v>0.36701587903509214</v>
      </c>
    </row>
    <row r="282" spans="19:21" x14ac:dyDescent="0.25">
      <c r="S282" s="11">
        <v>264</v>
      </c>
      <c r="T282" s="4">
        <v>191.10910520138822</v>
      </c>
      <c r="U282" s="7">
        <v>0.42544271799349764</v>
      </c>
    </row>
    <row r="283" spans="19:21" x14ac:dyDescent="0.25">
      <c r="S283" s="11">
        <v>265</v>
      </c>
      <c r="T283" s="4">
        <v>174.31066538814062</v>
      </c>
      <c r="U283" s="7">
        <v>0.30014668000403244</v>
      </c>
    </row>
    <row r="284" spans="19:21" x14ac:dyDescent="0.25">
      <c r="S284" s="11">
        <v>266</v>
      </c>
      <c r="T284" s="4">
        <v>164.29947774214358</v>
      </c>
      <c r="U284" s="7">
        <v>0.22547533185756397</v>
      </c>
    </row>
    <row r="285" spans="19:21" x14ac:dyDescent="0.25">
      <c r="S285" s="11">
        <v>267</v>
      </c>
      <c r="T285" s="4">
        <v>130.46771579592431</v>
      </c>
      <c r="U285" s="7">
        <v>-2.6868682062174187E-2</v>
      </c>
    </row>
    <row r="286" spans="19:21" x14ac:dyDescent="0.25">
      <c r="S286" s="11">
        <v>268</v>
      </c>
      <c r="T286" s="4">
        <v>155.54909045180187</v>
      </c>
      <c r="U286" s="7">
        <v>0.16020802902813358</v>
      </c>
    </row>
    <row r="287" spans="19:21" x14ac:dyDescent="0.25">
      <c r="S287" s="11">
        <v>269</v>
      </c>
      <c r="T287" s="4">
        <v>185.55344465455389</v>
      </c>
      <c r="U287" s="7">
        <v>0.38400421163984411</v>
      </c>
    </row>
    <row r="288" spans="19:21" x14ac:dyDescent="0.25">
      <c r="S288" s="11">
        <v>270</v>
      </c>
      <c r="T288" s="4">
        <v>152.76941859190578</v>
      </c>
      <c r="U288" s="7">
        <v>0.13947503984415444</v>
      </c>
    </row>
    <row r="289" spans="19:21" x14ac:dyDescent="0.25">
      <c r="S289" s="11">
        <v>271</v>
      </c>
      <c r="T289" s="4">
        <v>123.835965669449</v>
      </c>
      <c r="U289" s="7">
        <v>-7.6333514809808323E-2</v>
      </c>
    </row>
    <row r="290" spans="19:21" x14ac:dyDescent="0.25">
      <c r="S290" s="11">
        <v>272</v>
      </c>
      <c r="T290" s="4">
        <v>195.90538081174682</v>
      </c>
      <c r="U290" s="7">
        <v>0.46121713143691223</v>
      </c>
    </row>
    <row r="291" spans="19:21" x14ac:dyDescent="0.25">
      <c r="S291" s="11">
        <v>273</v>
      </c>
      <c r="T291" s="4">
        <v>116.43951178711015</v>
      </c>
      <c r="U291" s="7">
        <v>-0.13150211242552279</v>
      </c>
    </row>
    <row r="292" spans="19:21" x14ac:dyDescent="0.25">
      <c r="S292" s="11">
        <v>274</v>
      </c>
      <c r="T292" s="4">
        <v>133.53478698039476</v>
      </c>
      <c r="U292" s="7">
        <v>-3.9920416171047579E-3</v>
      </c>
    </row>
    <row r="293" spans="19:21" x14ac:dyDescent="0.25">
      <c r="S293" s="11">
        <v>275</v>
      </c>
      <c r="T293" s="4">
        <v>160.09237403700999</v>
      </c>
      <c r="U293" s="7">
        <v>0.19409542803766677</v>
      </c>
    </row>
    <row r="294" spans="19:21" x14ac:dyDescent="0.25">
      <c r="S294" s="11">
        <v>276</v>
      </c>
      <c r="T294" s="4">
        <v>176.12055662615188</v>
      </c>
      <c r="U294" s="7">
        <v>0.3136462790046386</v>
      </c>
    </row>
    <row r="295" spans="19:21" x14ac:dyDescent="0.25">
      <c r="S295" s="11">
        <v>277</v>
      </c>
      <c r="T295" s="4">
        <v>127.01653374379732</v>
      </c>
      <c r="U295" s="7">
        <v>-5.2610324876576908E-2</v>
      </c>
    </row>
    <row r="296" spans="19:21" x14ac:dyDescent="0.25">
      <c r="S296" s="11">
        <v>278</v>
      </c>
      <c r="T296" s="4">
        <v>140.1777472053939</v>
      </c>
      <c r="U296" s="7">
        <v>4.5556404903363212E-2</v>
      </c>
    </row>
    <row r="297" spans="19:21" x14ac:dyDescent="0.25">
      <c r="S297" s="11">
        <v>279</v>
      </c>
      <c r="T297" s="4">
        <v>136.66348589542358</v>
      </c>
      <c r="U297" s="7">
        <v>1.934426713972992E-2</v>
      </c>
    </row>
    <row r="298" spans="19:21" x14ac:dyDescent="0.25">
      <c r="S298" s="11">
        <v>280</v>
      </c>
      <c r="T298" s="4">
        <v>183.91729145788466</v>
      </c>
      <c r="U298" s="7">
        <v>0.3718004882366277</v>
      </c>
    </row>
    <row r="299" spans="19:21" x14ac:dyDescent="0.25">
      <c r="S299" s="11">
        <v>281</v>
      </c>
      <c r="T299" s="4">
        <v>198.04469126059675</v>
      </c>
      <c r="U299" s="7">
        <v>0.47717379921381942</v>
      </c>
    </row>
    <row r="300" spans="19:21" x14ac:dyDescent="0.25">
      <c r="S300" s="11">
        <v>282</v>
      </c>
      <c r="T300" s="4">
        <v>170.4504168364725</v>
      </c>
      <c r="U300" s="7">
        <v>0.27135389599815407</v>
      </c>
    </row>
    <row r="301" spans="19:21" x14ac:dyDescent="0.25">
      <c r="S301" s="11">
        <v>283</v>
      </c>
      <c r="T301" s="4">
        <v>186.02943486192541</v>
      </c>
      <c r="U301" s="7">
        <v>0.38755452272637747</v>
      </c>
    </row>
    <row r="302" spans="19:21" x14ac:dyDescent="0.25">
      <c r="S302" s="11">
        <v>284</v>
      </c>
      <c r="T302" s="4">
        <v>175.82357895077268</v>
      </c>
      <c r="U302" s="7">
        <v>0.3114311848345841</v>
      </c>
    </row>
    <row r="303" spans="19:21" x14ac:dyDescent="0.25">
      <c r="S303" s="11">
        <v>285</v>
      </c>
      <c r="T303" s="4">
        <v>170.08080628502177</v>
      </c>
      <c r="U303" s="7">
        <v>0.26859704844500465</v>
      </c>
    </row>
    <row r="304" spans="19:21" x14ac:dyDescent="0.25">
      <c r="S304" s="11">
        <v>286</v>
      </c>
      <c r="T304" s="4">
        <v>128.78251126146162</v>
      </c>
      <c r="U304" s="7">
        <v>-3.9438269102247903E-2</v>
      </c>
    </row>
    <row r="305" spans="19:21" x14ac:dyDescent="0.25">
      <c r="S305" s="11">
        <v>287</v>
      </c>
      <c r="T305" s="4">
        <v>119.610134128666</v>
      </c>
      <c r="U305" s="7">
        <v>-0.10785310562641892</v>
      </c>
    </row>
    <row r="306" spans="19:21" x14ac:dyDescent="0.25">
      <c r="S306" s="11">
        <v>288</v>
      </c>
      <c r="T306" s="4">
        <v>121.31233087284635</v>
      </c>
      <c r="U306" s="7">
        <v>-9.5156777259294723E-2</v>
      </c>
    </row>
    <row r="307" spans="19:21" x14ac:dyDescent="0.25">
      <c r="S307" s="11">
        <v>289</v>
      </c>
      <c r="T307" s="4">
        <v>168.22924963248374</v>
      </c>
      <c r="U307" s="7">
        <v>0.25478667585950432</v>
      </c>
    </row>
    <row r="308" spans="19:21" x14ac:dyDescent="0.25">
      <c r="S308" s="11">
        <v>290</v>
      </c>
      <c r="T308" s="4">
        <v>163.275647481269</v>
      </c>
      <c r="U308" s="7">
        <v>0.21783879675743267</v>
      </c>
    </row>
    <row r="309" spans="19:21" x14ac:dyDescent="0.25">
      <c r="S309" s="11">
        <v>291</v>
      </c>
      <c r="T309" s="4">
        <v>150.72365298256523</v>
      </c>
      <c r="U309" s="7">
        <v>0.12421610339796541</v>
      </c>
    </row>
    <row r="310" spans="19:21" x14ac:dyDescent="0.25">
      <c r="S310" s="11">
        <v>292</v>
      </c>
      <c r="T310" s="4">
        <v>148.3873411347478</v>
      </c>
      <c r="U310" s="7">
        <v>0.10679004352015964</v>
      </c>
    </row>
    <row r="311" spans="19:21" x14ac:dyDescent="0.25">
      <c r="S311" s="11">
        <v>293</v>
      </c>
      <c r="T311" s="4">
        <v>153.43001068779299</v>
      </c>
      <c r="U311" s="7">
        <v>0.14440225768473924</v>
      </c>
    </row>
    <row r="312" spans="19:21" x14ac:dyDescent="0.25">
      <c r="S312" s="11">
        <v>294</v>
      </c>
      <c r="T312" s="4">
        <v>161.37850745084575</v>
      </c>
      <c r="U312" s="7">
        <v>0.20368842732039805</v>
      </c>
    </row>
    <row r="313" spans="19:21" x14ac:dyDescent="0.25">
      <c r="S313" s="11">
        <v>295</v>
      </c>
      <c r="T313" s="4">
        <v>160.82139153016357</v>
      </c>
      <c r="U313" s="7">
        <v>0.19953301655973421</v>
      </c>
    </row>
    <row r="314" spans="19:21" x14ac:dyDescent="0.25">
      <c r="S314" s="11">
        <v>296</v>
      </c>
      <c r="T314" s="4">
        <v>175.64195483999291</v>
      </c>
      <c r="U314" s="7">
        <v>0.31007648869987992</v>
      </c>
    </row>
    <row r="315" spans="19:21" x14ac:dyDescent="0.25">
      <c r="S315" s="11">
        <v>297</v>
      </c>
      <c r="T315" s="4">
        <v>145.3846176230789</v>
      </c>
      <c r="U315" s="7">
        <v>8.4393358865360701E-2</v>
      </c>
    </row>
    <row r="316" spans="19:21" x14ac:dyDescent="0.25">
      <c r="S316" s="11">
        <v>298</v>
      </c>
      <c r="T316" s="4">
        <v>157.21073350464863</v>
      </c>
      <c r="U316" s="7">
        <v>0.17260187592040466</v>
      </c>
    </row>
    <row r="317" spans="19:21" x14ac:dyDescent="0.25">
      <c r="S317" s="11">
        <v>299</v>
      </c>
      <c r="T317" s="4">
        <v>194.92379643125332</v>
      </c>
      <c r="U317" s="7">
        <v>0.45389569949469188</v>
      </c>
    </row>
    <row r="318" spans="19:21" x14ac:dyDescent="0.25">
      <c r="S318" s="11">
        <v>300</v>
      </c>
      <c r="T318" s="4">
        <v>157.76555832260027</v>
      </c>
      <c r="U318" s="7">
        <v>0.17674019782651063</v>
      </c>
    </row>
    <row r="319" spans="19:21" x14ac:dyDescent="0.25">
      <c r="S319" s="11">
        <v>301</v>
      </c>
      <c r="T319" s="4">
        <v>133.90407642281357</v>
      </c>
      <c r="U319" s="7">
        <v>-1.2375891488507484E-3</v>
      </c>
    </row>
    <row r="320" spans="19:21" x14ac:dyDescent="0.25">
      <c r="S320" s="11">
        <v>302</v>
      </c>
      <c r="T320" s="4">
        <v>185.75437875022237</v>
      </c>
      <c r="U320" s="7">
        <v>0.3855029369002938</v>
      </c>
    </row>
    <row r="321" spans="19:21" x14ac:dyDescent="0.25">
      <c r="S321" s="11">
        <v>303</v>
      </c>
      <c r="T321" s="4">
        <v>123.23446671854822</v>
      </c>
      <c r="U321" s="7">
        <v>-8.0819969280612969E-2</v>
      </c>
    </row>
    <row r="322" spans="19:21" x14ac:dyDescent="0.25">
      <c r="S322" s="11">
        <v>304</v>
      </c>
      <c r="T322" s="4">
        <v>112.38148855731926</v>
      </c>
      <c r="U322" s="7">
        <v>-0.16177005625927299</v>
      </c>
    </row>
    <row r="323" spans="19:21" x14ac:dyDescent="0.25">
      <c r="S323" s="11">
        <v>305</v>
      </c>
      <c r="T323" s="4">
        <v>178.12848537675933</v>
      </c>
      <c r="U323" s="7">
        <v>0.32862299826030683</v>
      </c>
    </row>
    <row r="324" spans="19:21" x14ac:dyDescent="0.25">
      <c r="S324" s="11">
        <v>306</v>
      </c>
      <c r="T324" s="4">
        <v>135.42843999475397</v>
      </c>
      <c r="U324" s="7">
        <v>1.0132318898739223E-2</v>
      </c>
    </row>
    <row r="325" spans="19:21" x14ac:dyDescent="0.25">
      <c r="S325" s="11">
        <v>307</v>
      </c>
      <c r="T325" s="4">
        <v>175.29522393456486</v>
      </c>
      <c r="U325" s="7">
        <v>0.30749029562590335</v>
      </c>
    </row>
    <row r="326" spans="19:21" x14ac:dyDescent="0.25">
      <c r="S326" s="11">
        <v>308</v>
      </c>
      <c r="T326" s="4">
        <v>114.50061191610506</v>
      </c>
      <c r="U326" s="7">
        <v>-0.14596395975158449</v>
      </c>
    </row>
    <row r="327" spans="19:21" x14ac:dyDescent="0.25">
      <c r="S327" s="11">
        <v>309</v>
      </c>
      <c r="T327" s="4">
        <v>155.01500402278077</v>
      </c>
      <c r="U327" s="7">
        <v>0.15622439041381941</v>
      </c>
    </row>
    <row r="328" spans="19:21" x14ac:dyDescent="0.25">
      <c r="S328" s="11">
        <v>310</v>
      </c>
      <c r="T328" s="4">
        <v>181.38830854584864</v>
      </c>
      <c r="U328" s="7">
        <v>0.35293733531624261</v>
      </c>
    </row>
    <row r="329" spans="19:21" x14ac:dyDescent="0.25">
      <c r="S329" s="11">
        <v>311</v>
      </c>
      <c r="T329" s="4">
        <v>166.78816794299033</v>
      </c>
      <c r="U329" s="7">
        <v>0.24403794989923422</v>
      </c>
    </row>
    <row r="330" spans="19:21" x14ac:dyDescent="0.25">
      <c r="S330" s="11">
        <v>312</v>
      </c>
      <c r="T330" s="4">
        <v>165.47441428934522</v>
      </c>
      <c r="U330" s="7">
        <v>0.23423893704292698</v>
      </c>
    </row>
    <row r="331" spans="19:21" x14ac:dyDescent="0.25">
      <c r="S331" s="11">
        <v>313</v>
      </c>
      <c r="T331" s="4">
        <v>182.39531645976717</v>
      </c>
      <c r="U331" s="7">
        <v>0.36044839606002221</v>
      </c>
    </row>
    <row r="332" spans="19:21" x14ac:dyDescent="0.25">
      <c r="S332" s="11">
        <v>314</v>
      </c>
      <c r="T332" s="4">
        <v>133.39963512522266</v>
      </c>
      <c r="U332" s="7">
        <v>-5.0001109478431394E-3</v>
      </c>
    </row>
    <row r="333" spans="19:21" x14ac:dyDescent="0.25">
      <c r="S333" s="11">
        <v>315</v>
      </c>
      <c r="T333" s="4">
        <v>115.69492297365188</v>
      </c>
      <c r="U333" s="7">
        <v>-0.13705584415863437</v>
      </c>
    </row>
    <row r="334" spans="19:21" x14ac:dyDescent="0.25">
      <c r="S334" s="11">
        <v>316</v>
      </c>
      <c r="T334" s="4">
        <v>155.10334441567122</v>
      </c>
      <c r="U334" s="7">
        <v>0.15688330286918206</v>
      </c>
    </row>
    <row r="335" spans="19:21" x14ac:dyDescent="0.25">
      <c r="S335" s="11">
        <v>317</v>
      </c>
      <c r="T335" s="4">
        <v>141.07690036329188</v>
      </c>
      <c r="U335" s="7">
        <v>5.2262999651613962E-2</v>
      </c>
    </row>
    <row r="336" spans="19:21" x14ac:dyDescent="0.25">
      <c r="S336" s="11">
        <v>318</v>
      </c>
      <c r="T336" s="4">
        <v>158.53160902698551</v>
      </c>
      <c r="U336" s="7">
        <v>0.18245400930100342</v>
      </c>
    </row>
    <row r="337" spans="19:21" x14ac:dyDescent="0.25">
      <c r="S337" s="11">
        <v>319</v>
      </c>
      <c r="T337" s="4">
        <v>181.13495347455975</v>
      </c>
      <c r="U337" s="7">
        <v>0.35104761299738763</v>
      </c>
    </row>
    <row r="338" spans="19:21" x14ac:dyDescent="0.25">
      <c r="S338" s="11">
        <v>320</v>
      </c>
      <c r="T338" s="4">
        <v>158.06590240509686</v>
      </c>
      <c r="U338" s="7">
        <v>0.17898040132092841</v>
      </c>
    </row>
    <row r="339" spans="19:21" x14ac:dyDescent="0.25">
      <c r="S339" s="11">
        <v>321</v>
      </c>
      <c r="T339" s="4">
        <v>142.75109068255694</v>
      </c>
      <c r="U339" s="7">
        <v>6.4750433971484611E-2</v>
      </c>
    </row>
    <row r="340" spans="19:21" x14ac:dyDescent="0.25">
      <c r="S340" s="11">
        <v>322</v>
      </c>
      <c r="T340" s="4">
        <v>161.35074595723617</v>
      </c>
      <c r="U340" s="7">
        <v>0.20348136016436325</v>
      </c>
    </row>
    <row r="341" spans="19:21" x14ac:dyDescent="0.25">
      <c r="S341" s="11">
        <v>323</v>
      </c>
      <c r="T341" s="4">
        <v>166.71061050443683</v>
      </c>
      <c r="U341" s="7">
        <v>0.24345946523783724</v>
      </c>
    </row>
    <row r="342" spans="19:21" x14ac:dyDescent="0.25">
      <c r="S342" s="11">
        <v>324</v>
      </c>
      <c r="T342" s="4">
        <v>121.28072567231492</v>
      </c>
      <c r="U342" s="7">
        <v>-9.5392513818789326E-2</v>
      </c>
    </row>
    <row r="343" spans="19:21" x14ac:dyDescent="0.25">
      <c r="S343" s="11">
        <v>325</v>
      </c>
      <c r="T343" s="4">
        <v>220.07970577852691</v>
      </c>
      <c r="U343" s="7">
        <v>0.64152834920956914</v>
      </c>
    </row>
    <row r="344" spans="19:21" x14ac:dyDescent="0.25">
      <c r="S344" s="11">
        <v>326</v>
      </c>
      <c r="T344" s="4">
        <v>165.8543643471468</v>
      </c>
      <c r="U344" s="7">
        <v>0.2370729048045559</v>
      </c>
    </row>
    <row r="345" spans="19:21" x14ac:dyDescent="0.25">
      <c r="S345" s="11">
        <v>327</v>
      </c>
      <c r="T345" s="4">
        <v>126.72860387456737</v>
      </c>
      <c r="U345" s="7">
        <v>-5.4757933358936528E-2</v>
      </c>
    </row>
    <row r="346" spans="19:21" x14ac:dyDescent="0.25">
      <c r="S346" s="11">
        <v>328</v>
      </c>
      <c r="T346" s="4">
        <v>133.96012201940383</v>
      </c>
      <c r="U346" s="7">
        <v>-8.195568031339473E-4</v>
      </c>
    </row>
    <row r="347" spans="19:21" x14ac:dyDescent="0.25">
      <c r="S347" s="11">
        <v>329</v>
      </c>
      <c r="T347" s="4">
        <v>124.48994773880139</v>
      </c>
      <c r="U347" s="7">
        <v>-7.1455599770258837E-2</v>
      </c>
    </row>
    <row r="348" spans="19:21" x14ac:dyDescent="0.25">
      <c r="S348" s="11">
        <v>330</v>
      </c>
      <c r="T348" s="4">
        <v>178.84384436567694</v>
      </c>
      <c r="U348" s="7">
        <v>0.33395871086504769</v>
      </c>
    </row>
    <row r="349" spans="19:21" x14ac:dyDescent="0.25">
      <c r="S349" s="11">
        <v>331</v>
      </c>
      <c r="T349" s="4">
        <v>142.30497215638968</v>
      </c>
      <c r="U349" s="7">
        <v>6.1422929487504163E-2</v>
      </c>
    </row>
    <row r="350" spans="19:21" x14ac:dyDescent="0.25">
      <c r="S350" s="11">
        <v>332</v>
      </c>
      <c r="T350" s="4">
        <v>203.2518820995636</v>
      </c>
      <c r="U350" s="7">
        <v>0.51601314313092872</v>
      </c>
    </row>
    <row r="351" spans="19:21" x14ac:dyDescent="0.25">
      <c r="S351" s="11">
        <v>333</v>
      </c>
      <c r="T351" s="4">
        <v>122.636152979152</v>
      </c>
      <c r="U351" s="7">
        <v>-8.5282665927112644E-2</v>
      </c>
    </row>
    <row r="352" spans="19:21" x14ac:dyDescent="0.25">
      <c r="S352" s="11">
        <v>334</v>
      </c>
      <c r="T352" s="4">
        <v>169.80420116572853</v>
      </c>
      <c r="U352" s="7">
        <v>0.2665339088963119</v>
      </c>
    </row>
    <row r="353" spans="19:21" x14ac:dyDescent="0.25">
      <c r="S353" s="11">
        <v>335</v>
      </c>
      <c r="T353" s="4">
        <v>181.26566873899375</v>
      </c>
      <c r="U353" s="7">
        <v>0.35202259072867736</v>
      </c>
    </row>
    <row r="354" spans="19:21" x14ac:dyDescent="0.25">
      <c r="S354" s="11">
        <v>336</v>
      </c>
      <c r="T354" s="4">
        <v>138.87536731834993</v>
      </c>
      <c r="U354" s="7">
        <v>3.5842226585738324E-2</v>
      </c>
    </row>
    <row r="355" spans="19:21" x14ac:dyDescent="0.25">
      <c r="S355" s="11">
        <v>337</v>
      </c>
      <c r="T355" s="4">
        <v>171.22635965663167</v>
      </c>
      <c r="U355" s="7">
        <v>0.27714149068868266</v>
      </c>
    </row>
    <row r="356" spans="19:21" x14ac:dyDescent="0.25">
      <c r="S356" s="11">
        <v>338</v>
      </c>
      <c r="T356" s="4">
        <v>139.04671079109877</v>
      </c>
      <c r="U356" s="7">
        <v>3.7120241598409542E-2</v>
      </c>
    </row>
    <row r="357" spans="19:21" x14ac:dyDescent="0.25">
      <c r="S357" s="11">
        <v>339</v>
      </c>
      <c r="T357" s="4">
        <v>178.84507193498857</v>
      </c>
      <c r="U357" s="7">
        <v>0.33396786704697967</v>
      </c>
    </row>
    <row r="358" spans="19:21" x14ac:dyDescent="0.25">
      <c r="S358" s="11">
        <v>340</v>
      </c>
      <c r="T358" s="4">
        <v>164.92421220813563</v>
      </c>
      <c r="U358" s="7">
        <v>0.23013509516025676</v>
      </c>
    </row>
    <row r="359" spans="19:21" x14ac:dyDescent="0.25">
      <c r="S359" s="11">
        <v>341</v>
      </c>
      <c r="T359" s="4">
        <v>137.33640197460349</v>
      </c>
      <c r="U359" s="7">
        <v>2.436340698592887E-2</v>
      </c>
    </row>
    <row r="360" spans="19:21" x14ac:dyDescent="0.25">
      <c r="S360" s="11">
        <v>342</v>
      </c>
      <c r="T360" s="4">
        <v>132.02658505951229</v>
      </c>
      <c r="U360" s="7">
        <v>-1.5241403300423007E-2</v>
      </c>
    </row>
    <row r="361" spans="19:21" x14ac:dyDescent="0.25">
      <c r="S361" s="11">
        <v>343</v>
      </c>
      <c r="T361" s="4">
        <v>188.79655430218389</v>
      </c>
      <c r="U361" s="7">
        <v>0.40819388604597528</v>
      </c>
    </row>
    <row r="362" spans="19:21" x14ac:dyDescent="0.25">
      <c r="S362" s="11">
        <v>344</v>
      </c>
      <c r="T362" s="4">
        <v>166.41019296924145</v>
      </c>
      <c r="U362" s="7">
        <v>0.2412187138751507</v>
      </c>
    </row>
    <row r="363" spans="19:21" x14ac:dyDescent="0.25">
      <c r="S363" s="11">
        <v>345</v>
      </c>
      <c r="T363" s="4">
        <v>229.5803956079661</v>
      </c>
      <c r="U363" s="7">
        <v>0.71239200125282398</v>
      </c>
    </row>
    <row r="364" spans="19:21" x14ac:dyDescent="0.25">
      <c r="S364" s="11">
        <v>346</v>
      </c>
      <c r="T364" s="4">
        <v>171.71073274068036</v>
      </c>
      <c r="U364" s="7">
        <v>0.2807543278934912</v>
      </c>
    </row>
    <row r="365" spans="19:21" x14ac:dyDescent="0.25">
      <c r="S365" s="11">
        <v>347</v>
      </c>
      <c r="T365" s="4">
        <v>137.52592432673106</v>
      </c>
      <c r="U365" s="7">
        <v>2.5777014445670599E-2</v>
      </c>
    </row>
    <row r="366" spans="19:21" x14ac:dyDescent="0.25">
      <c r="S366" s="11">
        <v>348</v>
      </c>
      <c r="T366" s="4">
        <v>112.08769533730815</v>
      </c>
      <c r="U366" s="7">
        <v>-0.16396139824488587</v>
      </c>
    </row>
    <row r="367" spans="19:21" x14ac:dyDescent="0.25">
      <c r="S367" s="11">
        <v>349</v>
      </c>
      <c r="T367" s="4">
        <v>176.82696004960277</v>
      </c>
      <c r="U367" s="7">
        <v>0.3189151939255821</v>
      </c>
    </row>
    <row r="368" spans="19:21" x14ac:dyDescent="0.25">
      <c r="S368" s="11">
        <v>350</v>
      </c>
      <c r="T368" s="4">
        <v>191.70101730994793</v>
      </c>
      <c r="U368" s="7">
        <v>0.42985766621875099</v>
      </c>
    </row>
    <row r="369" spans="19:21" x14ac:dyDescent="0.25">
      <c r="S369" s="11">
        <v>351</v>
      </c>
      <c r="T369" s="4">
        <v>130.23569927392018</v>
      </c>
      <c r="U369" s="7">
        <v>-2.8599244619078257E-2</v>
      </c>
    </row>
    <row r="370" spans="19:21" x14ac:dyDescent="0.25">
      <c r="S370" s="11">
        <v>352</v>
      </c>
      <c r="T370" s="4">
        <v>120.03694656459847</v>
      </c>
      <c r="U370" s="7">
        <v>-0.10466960121877766</v>
      </c>
    </row>
    <row r="371" spans="19:21" x14ac:dyDescent="0.25">
      <c r="S371" s="11">
        <v>353</v>
      </c>
      <c r="T371" s="4">
        <v>188.72074207019159</v>
      </c>
      <c r="U371" s="7">
        <v>0.40762841851414633</v>
      </c>
    </row>
    <row r="372" spans="19:21" x14ac:dyDescent="0.25">
      <c r="S372" s="11">
        <v>354</v>
      </c>
      <c r="T372" s="4">
        <v>161.05253384629526</v>
      </c>
      <c r="U372" s="7">
        <v>0.20125705859845811</v>
      </c>
    </row>
    <row r="373" spans="19:21" x14ac:dyDescent="0.25">
      <c r="S373" s="11">
        <v>355</v>
      </c>
      <c r="T373" s="4">
        <v>162.12592473886355</v>
      </c>
      <c r="U373" s="7">
        <v>0.20926325605179041</v>
      </c>
    </row>
    <row r="374" spans="19:21" x14ac:dyDescent="0.25">
      <c r="S374" s="11">
        <v>356</v>
      </c>
      <c r="T374" s="4">
        <v>151.39198760719992</v>
      </c>
      <c r="U374" s="7">
        <v>0.12920107113597323</v>
      </c>
    </row>
    <row r="375" spans="19:21" x14ac:dyDescent="0.25">
      <c r="S375" s="11">
        <v>357</v>
      </c>
      <c r="T375" s="4">
        <v>139.23854835608287</v>
      </c>
      <c r="U375" s="7">
        <v>3.8551117745080132E-2</v>
      </c>
    </row>
    <row r="376" spans="19:21" x14ac:dyDescent="0.25">
      <c r="S376" s="11">
        <v>358</v>
      </c>
      <c r="T376" s="4">
        <v>153.57231394090803</v>
      </c>
      <c r="U376" s="7">
        <v>0.14546366779225806</v>
      </c>
    </row>
    <row r="377" spans="19:21" x14ac:dyDescent="0.25">
      <c r="S377" s="11">
        <v>359</v>
      </c>
      <c r="T377" s="4">
        <v>152.24793322724426</v>
      </c>
      <c r="U377" s="7">
        <v>0.13558538992499636</v>
      </c>
    </row>
    <row r="378" spans="19:21" x14ac:dyDescent="0.25">
      <c r="S378" s="11">
        <v>360</v>
      </c>
      <c r="T378" s="4">
        <v>177.88842386674935</v>
      </c>
      <c r="U378" s="7">
        <v>0.32683242982583249</v>
      </c>
    </row>
    <row r="379" spans="19:21" x14ac:dyDescent="0.25">
      <c r="S379" s="11">
        <v>361</v>
      </c>
      <c r="T379" s="4">
        <v>117.09263097531333</v>
      </c>
      <c r="U379" s="7">
        <v>-0.12663063343541936</v>
      </c>
    </row>
    <row r="380" spans="19:21" x14ac:dyDescent="0.25">
      <c r="S380" s="11">
        <v>362</v>
      </c>
      <c r="T380" s="4">
        <v>154.67333719474499</v>
      </c>
      <c r="U380" s="7">
        <v>0.15367596923058846</v>
      </c>
    </row>
    <row r="381" spans="19:21" x14ac:dyDescent="0.25">
      <c r="S381" s="11">
        <v>363</v>
      </c>
      <c r="T381" s="4">
        <v>194.90674185194368</v>
      </c>
      <c r="U381" s="7">
        <v>0.45376849296594091</v>
      </c>
    </row>
    <row r="382" spans="19:21" x14ac:dyDescent="0.25">
      <c r="S382" s="11">
        <v>364</v>
      </c>
      <c r="T382" s="4">
        <v>225.58128583568072</v>
      </c>
      <c r="U382" s="7">
        <v>0.68256348053763505</v>
      </c>
    </row>
    <row r="383" spans="19:21" x14ac:dyDescent="0.25">
      <c r="S383" s="11">
        <v>365</v>
      </c>
      <c r="T383" s="4">
        <v>150.27384858926041</v>
      </c>
      <c r="U383" s="7">
        <v>0.12086110680435902</v>
      </c>
    </row>
    <row r="384" spans="19:21" x14ac:dyDescent="0.25">
      <c r="S384" s="11">
        <v>366</v>
      </c>
      <c r="T384" s="4">
        <v>119.74736390962518</v>
      </c>
      <c r="U384" s="7">
        <v>-0.10682953748321633</v>
      </c>
    </row>
    <row r="385" spans="19:21" x14ac:dyDescent="0.25">
      <c r="S385" s="11">
        <v>367</v>
      </c>
      <c r="T385" s="4">
        <v>131.04273534997827</v>
      </c>
      <c r="U385" s="7">
        <v>-2.257973185665485E-2</v>
      </c>
    </row>
    <row r="386" spans="19:21" x14ac:dyDescent="0.25">
      <c r="S386" s="11">
        <v>368</v>
      </c>
      <c r="T386" s="4">
        <v>147.39823282656658</v>
      </c>
      <c r="U386" s="7">
        <v>9.9412492179955292E-2</v>
      </c>
    </row>
    <row r="387" spans="19:21" x14ac:dyDescent="0.25">
      <c r="S387" s="11">
        <v>369</v>
      </c>
      <c r="T387" s="4">
        <v>141.15098068794842</v>
      </c>
      <c r="U387" s="7">
        <v>5.2815549250006866E-2</v>
      </c>
    </row>
    <row r="388" spans="19:21" x14ac:dyDescent="0.25">
      <c r="S388" s="11">
        <v>370</v>
      </c>
      <c r="T388" s="4">
        <v>149.23677332035155</v>
      </c>
      <c r="U388" s="7">
        <v>0.11312577996831163</v>
      </c>
    </row>
    <row r="389" spans="19:21" x14ac:dyDescent="0.25">
      <c r="S389" s="11">
        <v>371</v>
      </c>
      <c r="T389" s="4">
        <v>158.67995547542154</v>
      </c>
      <c r="U389" s="7">
        <v>0.18356049433446375</v>
      </c>
    </row>
    <row r="390" spans="19:21" x14ac:dyDescent="0.25">
      <c r="S390" s="11">
        <v>372</v>
      </c>
      <c r="T390" s="4">
        <v>184.79835348184366</v>
      </c>
      <c r="U390" s="7">
        <v>0.37837214501263272</v>
      </c>
    </row>
    <row r="391" spans="19:21" x14ac:dyDescent="0.25">
      <c r="S391" s="11">
        <v>373</v>
      </c>
      <c r="T391" s="4">
        <v>134.84579461877593</v>
      </c>
      <c r="U391" s="7">
        <v>5.7864892875061358E-3</v>
      </c>
    </row>
    <row r="392" spans="19:21" x14ac:dyDescent="0.25">
      <c r="S392" s="11">
        <v>374</v>
      </c>
      <c r="T392" s="4">
        <v>165.60951320785276</v>
      </c>
      <c r="U392" s="7">
        <v>0.23524661153019144</v>
      </c>
    </row>
    <row r="393" spans="19:21" x14ac:dyDescent="0.25">
      <c r="S393" s="11">
        <v>375</v>
      </c>
      <c r="T393" s="4">
        <v>158.18051157775119</v>
      </c>
      <c r="U393" s="7">
        <v>0.17983524709294541</v>
      </c>
    </row>
    <row r="394" spans="19:21" x14ac:dyDescent="0.25">
      <c r="S394" s="11">
        <v>376</v>
      </c>
      <c r="T394" s="4">
        <v>169.9869874996588</v>
      </c>
      <c r="U394" s="7">
        <v>0.26789727380964279</v>
      </c>
    </row>
    <row r="395" spans="19:21" x14ac:dyDescent="0.25">
      <c r="S395" s="11">
        <v>377</v>
      </c>
      <c r="T395" s="4">
        <v>195.60862185094055</v>
      </c>
      <c r="U395" s="7">
        <v>0.45900366861296749</v>
      </c>
    </row>
    <row r="396" spans="19:21" x14ac:dyDescent="0.25">
      <c r="S396" s="11">
        <v>378</v>
      </c>
      <c r="T396" s="4">
        <v>143.52731001455615</v>
      </c>
      <c r="U396" s="7">
        <v>7.0540091105811609E-2</v>
      </c>
    </row>
    <row r="397" spans="19:21" x14ac:dyDescent="0.25">
      <c r="S397" s="11">
        <v>379</v>
      </c>
      <c r="T397" s="4">
        <v>134.52767976570306</v>
      </c>
      <c r="U397" s="7">
        <v>3.4137373439475649E-3</v>
      </c>
    </row>
    <row r="398" spans="19:21" x14ac:dyDescent="0.25">
      <c r="S398" s="11">
        <v>380</v>
      </c>
      <c r="T398" s="4">
        <v>170.61001920192294</v>
      </c>
      <c r="U398" s="7">
        <v>0.27254433655495602</v>
      </c>
    </row>
    <row r="399" spans="19:21" x14ac:dyDescent="0.25">
      <c r="S399" s="11">
        <v>381</v>
      </c>
      <c r="T399" s="4">
        <v>110.49253314757284</v>
      </c>
      <c r="U399" s="7">
        <v>-0.17585937832794174</v>
      </c>
    </row>
    <row r="400" spans="19:21" x14ac:dyDescent="0.25">
      <c r="S400" s="11">
        <v>382</v>
      </c>
      <c r="T400" s="4">
        <v>205.5171437926262</v>
      </c>
      <c r="U400" s="7">
        <v>0.53290925481186102</v>
      </c>
    </row>
    <row r="401" spans="19:21" x14ac:dyDescent="0.25">
      <c r="S401" s="11">
        <v>383</v>
      </c>
      <c r="T401" s="4">
        <v>158.57971064966586</v>
      </c>
      <c r="U401" s="7">
        <v>0.1828127892120972</v>
      </c>
    </row>
    <row r="402" spans="19:21" x14ac:dyDescent="0.25">
      <c r="S402" s="11">
        <v>384</v>
      </c>
      <c r="T402" s="4">
        <v>135.82097901560834</v>
      </c>
      <c r="U402" s="7">
        <v>1.3060185094416088E-2</v>
      </c>
    </row>
    <row r="403" spans="19:21" x14ac:dyDescent="0.25">
      <c r="S403" s="11">
        <v>385</v>
      </c>
      <c r="T403" s="4">
        <v>183.6150818217146</v>
      </c>
      <c r="U403" s="7">
        <v>0.36954636996878198</v>
      </c>
    </row>
    <row r="404" spans="19:21" x14ac:dyDescent="0.25">
      <c r="S404" s="11">
        <v>386</v>
      </c>
      <c r="T404" s="4">
        <v>142.07666038429275</v>
      </c>
      <c r="U404" s="7">
        <v>5.9719999882843045E-2</v>
      </c>
    </row>
    <row r="405" spans="19:21" x14ac:dyDescent="0.25">
      <c r="S405" s="11">
        <v>387</v>
      </c>
      <c r="T405" s="4">
        <v>153.30159181628693</v>
      </c>
      <c r="U405" s="7">
        <v>0.14344440826647964</v>
      </c>
    </row>
    <row r="406" spans="19:21" x14ac:dyDescent="0.25">
      <c r="S406" s="11">
        <v>388</v>
      </c>
      <c r="T406" s="4">
        <v>181.0343525881764</v>
      </c>
      <c r="U406" s="7">
        <v>0.35029725209350637</v>
      </c>
    </row>
    <row r="407" spans="19:21" x14ac:dyDescent="0.25">
      <c r="S407" s="11">
        <v>389</v>
      </c>
      <c r="T407" s="4">
        <v>126.90532571028947</v>
      </c>
      <c r="U407" s="7">
        <v>-5.3439802265313086E-2</v>
      </c>
    </row>
    <row r="408" spans="19:21" x14ac:dyDescent="0.25">
      <c r="S408" s="11">
        <v>390</v>
      </c>
      <c r="T408" s="4">
        <v>132.04055795155648</v>
      </c>
      <c r="U408" s="7">
        <v>-1.513718243039841E-2</v>
      </c>
    </row>
    <row r="409" spans="19:21" x14ac:dyDescent="0.25">
      <c r="S409" s="11">
        <v>391</v>
      </c>
      <c r="T409" s="4">
        <v>190.8619470976939</v>
      </c>
      <c r="U409" s="7">
        <v>0.42359921755570906</v>
      </c>
    </row>
    <row r="410" spans="19:21" x14ac:dyDescent="0.25">
      <c r="S410" s="11">
        <v>392</v>
      </c>
      <c r="T410" s="4">
        <v>178.66792261617636</v>
      </c>
      <c r="U410" s="7">
        <v>0.33264654744667976</v>
      </c>
    </row>
    <row r="411" spans="19:21" x14ac:dyDescent="0.25">
      <c r="S411" s="11">
        <v>393</v>
      </c>
      <c r="T411" s="4">
        <v>176.37858329731114</v>
      </c>
      <c r="U411" s="7">
        <v>0.31557084580675121</v>
      </c>
    </row>
    <row r="412" spans="19:21" x14ac:dyDescent="0.25">
      <c r="S412" s="11">
        <v>394</v>
      </c>
      <c r="T412" s="4">
        <v>143.43083077318349</v>
      </c>
      <c r="U412" s="7">
        <v>6.9820472687279089E-2</v>
      </c>
    </row>
    <row r="413" spans="19:21" x14ac:dyDescent="0.25">
      <c r="S413" s="11">
        <v>395</v>
      </c>
      <c r="T413" s="4">
        <v>173.67088948111115</v>
      </c>
      <c r="U413" s="7">
        <v>0.29537472574857282</v>
      </c>
    </row>
    <row r="414" spans="19:21" x14ac:dyDescent="0.25">
      <c r="S414" s="11">
        <v>396</v>
      </c>
      <c r="T414" s="4">
        <v>143.35152129037365</v>
      </c>
      <c r="U414" s="7">
        <v>6.9228919895380381E-2</v>
      </c>
    </row>
    <row r="415" spans="19:21" x14ac:dyDescent="0.25">
      <c r="S415" s="11">
        <v>397</v>
      </c>
      <c r="T415" s="4">
        <v>187.98022856606136</v>
      </c>
      <c r="U415" s="7">
        <v>0.40210508365824849</v>
      </c>
    </row>
    <row r="416" spans="19:21" x14ac:dyDescent="0.25">
      <c r="S416" s="11">
        <v>398</v>
      </c>
      <c r="T416" s="4">
        <v>137.33727391452919</v>
      </c>
      <c r="U416" s="7">
        <v>2.4369910602888067E-2</v>
      </c>
    </row>
    <row r="417" spans="19:21" x14ac:dyDescent="0.25">
      <c r="S417" s="11">
        <v>399</v>
      </c>
      <c r="T417" s="4">
        <v>170.37831315199955</v>
      </c>
      <c r="U417" s="7">
        <v>0.27081608974416027</v>
      </c>
    </row>
    <row r="418" spans="19:21" x14ac:dyDescent="0.25">
      <c r="S418" s="11">
        <v>400</v>
      </c>
      <c r="T418" s="4">
        <v>132.91329808796971</v>
      </c>
      <c r="U418" s="7">
        <v>-8.6275968675340042E-3</v>
      </c>
    </row>
    <row r="419" spans="19:21" x14ac:dyDescent="0.25">
      <c r="S419" s="11">
        <v>401</v>
      </c>
      <c r="T419" s="4">
        <v>174.91317838425391</v>
      </c>
      <c r="U419" s="7">
        <v>0.30464069802531446</v>
      </c>
    </row>
    <row r="420" spans="19:21" x14ac:dyDescent="0.25">
      <c r="S420" s="11">
        <v>402</v>
      </c>
      <c r="T420" s="4">
        <v>126.28992734503603</v>
      </c>
      <c r="U420" s="7">
        <v>-5.8029929551457915E-2</v>
      </c>
    </row>
    <row r="421" spans="19:21" x14ac:dyDescent="0.25">
      <c r="S421" s="11">
        <v>403</v>
      </c>
      <c r="T421" s="4">
        <v>155.22082130858027</v>
      </c>
      <c r="U421" s="7">
        <v>0.15775953836488599</v>
      </c>
    </row>
    <row r="422" spans="19:21" x14ac:dyDescent="0.25">
      <c r="S422" s="11">
        <v>404</v>
      </c>
      <c r="T422" s="4">
        <v>167.78791670871937</v>
      </c>
      <c r="U422" s="7">
        <v>0.25149486617975225</v>
      </c>
    </row>
    <row r="423" spans="19:21" x14ac:dyDescent="0.25">
      <c r="S423" s="11">
        <v>405</v>
      </c>
      <c r="T423" s="4">
        <v>177.05847850387673</v>
      </c>
      <c r="U423" s="7">
        <v>0.32064204149978925</v>
      </c>
    </row>
    <row r="424" spans="19:21" x14ac:dyDescent="0.25">
      <c r="S424" s="11">
        <v>406</v>
      </c>
      <c r="T424" s="4">
        <v>160.53462123352324</v>
      </c>
      <c r="U424" s="7">
        <v>0.19739405708602398</v>
      </c>
    </row>
    <row r="425" spans="19:21" x14ac:dyDescent="0.25">
      <c r="S425" s="11">
        <v>407</v>
      </c>
      <c r="T425" s="4">
        <v>212.53815462326099</v>
      </c>
      <c r="U425" s="7">
        <v>0.58527750147878721</v>
      </c>
    </row>
    <row r="426" spans="19:21" x14ac:dyDescent="0.25">
      <c r="S426" s="11">
        <v>408</v>
      </c>
      <c r="T426" s="4">
        <v>161.96500188051641</v>
      </c>
      <c r="U426" s="7">
        <v>0.20806296621553222</v>
      </c>
    </row>
    <row r="427" spans="19:21" x14ac:dyDescent="0.25">
      <c r="S427" s="11">
        <v>409</v>
      </c>
      <c r="T427" s="4">
        <v>163.02581454583677</v>
      </c>
      <c r="U427" s="7">
        <v>0.21597534531093299</v>
      </c>
    </row>
    <row r="428" spans="19:21" x14ac:dyDescent="0.25">
      <c r="S428" s="11">
        <v>410</v>
      </c>
      <c r="T428" s="4">
        <v>137.07499409158993</v>
      </c>
      <c r="U428" s="7">
        <v>2.2413620434026615E-2</v>
      </c>
    </row>
    <row r="429" spans="19:21" x14ac:dyDescent="0.25">
      <c r="S429" s="11">
        <v>411</v>
      </c>
      <c r="T429" s="4">
        <v>151.77991205571416</v>
      </c>
      <c r="U429" s="7">
        <v>0.1320945182047748</v>
      </c>
    </row>
    <row r="430" spans="19:21" x14ac:dyDescent="0.25">
      <c r="S430" s="11">
        <v>412</v>
      </c>
      <c r="T430" s="4">
        <v>174.97394699170144</v>
      </c>
      <c r="U430" s="7">
        <v>0.30509395831805364</v>
      </c>
    </row>
    <row r="431" spans="19:21" x14ac:dyDescent="0.25">
      <c r="S431" s="11">
        <v>413</v>
      </c>
      <c r="T431" s="4">
        <v>152.94762231541688</v>
      </c>
      <c r="U431" s="7">
        <v>0.14080422402787263</v>
      </c>
    </row>
    <row r="432" spans="19:21" x14ac:dyDescent="0.25">
      <c r="S432" s="11">
        <v>414</v>
      </c>
      <c r="T432" s="4">
        <v>171.52343432334817</v>
      </c>
      <c r="U432" s="7">
        <v>0.27935730829677174</v>
      </c>
    </row>
    <row r="433" spans="19:21" x14ac:dyDescent="0.25">
      <c r="S433" s="11">
        <v>415</v>
      </c>
      <c r="T433" s="4">
        <v>139.68468633748799</v>
      </c>
      <c r="U433" s="7">
        <v>4.1878767341597678E-2</v>
      </c>
    </row>
    <row r="434" spans="19:21" x14ac:dyDescent="0.25">
      <c r="S434" s="11">
        <v>416</v>
      </c>
      <c r="T434" s="4">
        <v>135.64302228463541</v>
      </c>
      <c r="U434" s="7">
        <v>1.1732843176216923E-2</v>
      </c>
    </row>
    <row r="435" spans="19:21" x14ac:dyDescent="0.25">
      <c r="S435" s="11">
        <v>417</v>
      </c>
      <c r="T435" s="4">
        <v>163.99467652598702</v>
      </c>
      <c r="U435" s="7">
        <v>0.22320188353835335</v>
      </c>
    </row>
    <row r="436" spans="19:21" x14ac:dyDescent="0.25">
      <c r="S436" s="11">
        <v>418</v>
      </c>
      <c r="T436" s="4">
        <v>148.54552814734168</v>
      </c>
      <c r="U436" s="7">
        <v>0.10796992725696786</v>
      </c>
    </row>
    <row r="437" spans="19:21" x14ac:dyDescent="0.25">
      <c r="S437" s="11">
        <v>419</v>
      </c>
      <c r="T437" s="4">
        <v>170.62437656244239</v>
      </c>
      <c r="U437" s="7">
        <v>0.27265142509466989</v>
      </c>
    </row>
    <row r="438" spans="19:21" x14ac:dyDescent="0.25">
      <c r="S438" s="11">
        <v>420</v>
      </c>
      <c r="T438" s="4">
        <v>147.14333109638875</v>
      </c>
      <c r="U438" s="7">
        <v>9.7511233656961016E-2</v>
      </c>
    </row>
    <row r="439" spans="19:21" x14ac:dyDescent="0.25">
      <c r="S439" s="11">
        <v>421</v>
      </c>
      <c r="T439" s="4">
        <v>118.46932451223765</v>
      </c>
      <c r="U439" s="7">
        <v>-0.11636216519551235</v>
      </c>
    </row>
    <row r="440" spans="19:21" x14ac:dyDescent="0.25">
      <c r="S440" s="11">
        <v>422</v>
      </c>
      <c r="T440" s="4">
        <v>253.3767893784829</v>
      </c>
      <c r="U440" s="7">
        <v>0.88988430952847697</v>
      </c>
    </row>
    <row r="441" spans="19:21" x14ac:dyDescent="0.25">
      <c r="S441" s="11">
        <v>423</v>
      </c>
      <c r="T441" s="4">
        <v>135.90486499381447</v>
      </c>
      <c r="U441" s="7">
        <v>1.3685873005254479E-2</v>
      </c>
    </row>
    <row r="442" spans="19:21" x14ac:dyDescent="0.25">
      <c r="S442" s="11">
        <v>424</v>
      </c>
      <c r="T442" s="4">
        <v>207.62806789792739</v>
      </c>
      <c r="U442" s="7">
        <v>0.54865419480814048</v>
      </c>
    </row>
    <row r="443" spans="19:21" x14ac:dyDescent="0.25">
      <c r="S443" s="11">
        <v>425</v>
      </c>
      <c r="T443" s="4">
        <v>142.13338334543991</v>
      </c>
      <c r="U443" s="7">
        <v>6.0143084548667902E-2</v>
      </c>
    </row>
    <row r="444" spans="19:21" x14ac:dyDescent="0.25">
      <c r="S444" s="11">
        <v>426</v>
      </c>
      <c r="T444" s="4">
        <v>154.46451244636927</v>
      </c>
      <c r="U444" s="7">
        <v>0.15211838924717891</v>
      </c>
    </row>
    <row r="445" spans="19:21" x14ac:dyDescent="0.25">
      <c r="S445" s="11">
        <v>427</v>
      </c>
      <c r="T445" s="4">
        <v>156.80597702221561</v>
      </c>
      <c r="U445" s="7">
        <v>0.16958288224222895</v>
      </c>
    </row>
    <row r="446" spans="19:21" x14ac:dyDescent="0.25">
      <c r="S446" s="11">
        <v>428</v>
      </c>
      <c r="T446" s="4">
        <v>148.43657662565857</v>
      </c>
      <c r="U446" s="7">
        <v>0.1071572807164809</v>
      </c>
    </row>
    <row r="447" spans="19:21" x14ac:dyDescent="0.25">
      <c r="S447" s="11">
        <v>429</v>
      </c>
      <c r="T447" s="4">
        <v>155.98137185313081</v>
      </c>
      <c r="U447" s="7">
        <v>0.16343232530119201</v>
      </c>
    </row>
    <row r="448" spans="19:21" x14ac:dyDescent="0.25">
      <c r="S448" s="11">
        <v>430</v>
      </c>
      <c r="T448" s="4">
        <v>181.75962960618588</v>
      </c>
      <c r="U448" s="7">
        <v>0.35570694119628476</v>
      </c>
    </row>
    <row r="449" spans="19:21" x14ac:dyDescent="0.25">
      <c r="S449" s="11">
        <v>431</v>
      </c>
      <c r="T449" s="4">
        <v>152.80034008497731</v>
      </c>
      <c r="U449" s="7">
        <v>0.13970567677315815</v>
      </c>
    </row>
    <row r="450" spans="19:21" x14ac:dyDescent="0.25">
      <c r="S450" s="11">
        <v>432</v>
      </c>
      <c r="T450" s="4">
        <v>128.18361761787801</v>
      </c>
      <c r="U450" s="7">
        <v>-4.3905291132408264E-2</v>
      </c>
    </row>
    <row r="451" spans="19:21" x14ac:dyDescent="0.25">
      <c r="S451" s="11">
        <v>433</v>
      </c>
      <c r="T451" s="4">
        <v>147.9893215095214</v>
      </c>
      <c r="U451" s="7">
        <v>0.10382129864638934</v>
      </c>
    </row>
    <row r="452" spans="19:21" x14ac:dyDescent="0.25">
      <c r="S452" s="11">
        <v>434</v>
      </c>
      <c r="T452" s="4">
        <v>167.42400114347342</v>
      </c>
      <c r="U452" s="7">
        <v>0.2487804963338065</v>
      </c>
    </row>
    <row r="453" spans="19:21" x14ac:dyDescent="0.25">
      <c r="S453" s="11">
        <v>435</v>
      </c>
      <c r="T453" s="4">
        <v>145.11496279216809</v>
      </c>
      <c r="U453" s="7">
        <v>8.2382060059432272E-2</v>
      </c>
    </row>
    <row r="454" spans="19:21" x14ac:dyDescent="0.25">
      <c r="S454" s="11">
        <v>436</v>
      </c>
      <c r="T454" s="4">
        <v>136.8127521612129</v>
      </c>
      <c r="U454" s="7">
        <v>2.0457612897836208E-2</v>
      </c>
    </row>
    <row r="455" spans="19:21" x14ac:dyDescent="0.25">
      <c r="S455" s="11">
        <v>437</v>
      </c>
      <c r="T455" s="4">
        <v>159.77026075655664</v>
      </c>
      <c r="U455" s="7">
        <v>0.19169285266321068</v>
      </c>
    </row>
    <row r="456" spans="19:21" x14ac:dyDescent="0.25">
      <c r="S456" s="11">
        <v>438</v>
      </c>
      <c r="T456" s="4">
        <v>153.88866559679059</v>
      </c>
      <c r="U456" s="7">
        <v>0.14782326841792037</v>
      </c>
    </row>
    <row r="457" spans="19:21" x14ac:dyDescent="0.25">
      <c r="S457" s="11">
        <v>439</v>
      </c>
      <c r="T457" s="4">
        <v>148.09376302139322</v>
      </c>
      <c r="U457" s="7">
        <v>0.10460030596996517</v>
      </c>
    </row>
    <row r="458" spans="19:21" x14ac:dyDescent="0.25">
      <c r="S458" s="11">
        <v>440</v>
      </c>
      <c r="T458" s="4">
        <v>149.44594583033782</v>
      </c>
      <c r="U458" s="7">
        <v>0.1146859538326086</v>
      </c>
    </row>
    <row r="459" spans="19:21" x14ac:dyDescent="0.25">
      <c r="S459" s="11">
        <v>441</v>
      </c>
      <c r="T459" s="4">
        <v>158.9846387887138</v>
      </c>
      <c r="U459" s="7">
        <v>0.18583306324094728</v>
      </c>
    </row>
    <row r="460" spans="19:21" x14ac:dyDescent="0.25">
      <c r="S460" s="11">
        <v>442</v>
      </c>
      <c r="T460" s="4">
        <v>113.46444216003293</v>
      </c>
      <c r="U460" s="7">
        <v>-0.15369253255737347</v>
      </c>
    </row>
    <row r="461" spans="19:21" x14ac:dyDescent="0.25">
      <c r="S461" s="11">
        <v>443</v>
      </c>
      <c r="T461" s="4">
        <v>178.79520496522636</v>
      </c>
      <c r="U461" s="7">
        <v>0.33359591978240011</v>
      </c>
    </row>
    <row r="462" spans="19:21" x14ac:dyDescent="0.25">
      <c r="S462" s="11">
        <v>444</v>
      </c>
      <c r="T462" s="4">
        <v>145.54652891902492</v>
      </c>
      <c r="U462" s="7">
        <v>8.560102125027913E-2</v>
      </c>
    </row>
    <row r="463" spans="19:21" x14ac:dyDescent="0.25">
      <c r="S463" s="11">
        <v>445</v>
      </c>
      <c r="T463" s="4">
        <v>158.75124384670195</v>
      </c>
      <c r="U463" s="7">
        <v>0.18409221933842002</v>
      </c>
    </row>
    <row r="464" spans="19:21" x14ac:dyDescent="0.25">
      <c r="S464" s="11">
        <v>446</v>
      </c>
      <c r="T464" s="4">
        <v>137.85204809477395</v>
      </c>
      <c r="U464" s="7">
        <v>2.8209503205593789E-2</v>
      </c>
    </row>
    <row r="465" spans="19:21" x14ac:dyDescent="0.25">
      <c r="S465" s="11">
        <v>447</v>
      </c>
      <c r="T465" s="4">
        <v>119.93268751119349</v>
      </c>
      <c r="U465" s="7">
        <v>-0.10544724762293212</v>
      </c>
    </row>
    <row r="466" spans="19:21" x14ac:dyDescent="0.25">
      <c r="S466" s="11">
        <v>448</v>
      </c>
      <c r="T466" s="4">
        <v>191.25346487639149</v>
      </c>
      <c r="U466" s="7">
        <v>0.42651946652041106</v>
      </c>
    </row>
    <row r="467" spans="19:21" x14ac:dyDescent="0.25">
      <c r="S467" s="11">
        <v>449</v>
      </c>
      <c r="T467" s="4">
        <v>197.93323035896728</v>
      </c>
      <c r="U467" s="7">
        <v>0.47634243573481982</v>
      </c>
    </row>
    <row r="468" spans="19:21" x14ac:dyDescent="0.25">
      <c r="S468" s="11">
        <v>450</v>
      </c>
      <c r="T468" s="4">
        <v>123.12366860205346</v>
      </c>
      <c r="U468" s="7">
        <v>-8.1646389184355517E-2</v>
      </c>
    </row>
    <row r="469" spans="19:21" x14ac:dyDescent="0.25">
      <c r="S469" s="11">
        <v>451</v>
      </c>
      <c r="T469" s="4">
        <v>164.1881868933927</v>
      </c>
      <c r="U469" s="7">
        <v>0.22464523676730597</v>
      </c>
    </row>
    <row r="470" spans="19:21" x14ac:dyDescent="0.25">
      <c r="S470" s="11">
        <v>452</v>
      </c>
      <c r="T470" s="4">
        <v>164.3988569547173</v>
      </c>
      <c r="U470" s="7">
        <v>0.22621658055282556</v>
      </c>
    </row>
    <row r="471" spans="19:21" x14ac:dyDescent="0.25">
      <c r="S471" s="11">
        <v>453</v>
      </c>
      <c r="T471" s="4">
        <v>165.13932997487532</v>
      </c>
      <c r="U471" s="7">
        <v>0.2317396134472689</v>
      </c>
    </row>
    <row r="472" spans="19:21" x14ac:dyDescent="0.25">
      <c r="S472" s="11">
        <v>454</v>
      </c>
      <c r="T472" s="4">
        <v>158.9163200881203</v>
      </c>
      <c r="U472" s="7">
        <v>0.18532348838756096</v>
      </c>
    </row>
    <row r="473" spans="19:21" x14ac:dyDescent="0.25">
      <c r="S473" s="11">
        <v>455</v>
      </c>
      <c r="T473" s="4">
        <v>182.77066376531567</v>
      </c>
      <c r="U473" s="7">
        <v>0.36324803285832541</v>
      </c>
    </row>
    <row r="474" spans="19:21" x14ac:dyDescent="0.25">
      <c r="S474" s="11">
        <v>456</v>
      </c>
      <c r="T474" s="4">
        <v>138.48476695227589</v>
      </c>
      <c r="U474" s="7">
        <v>3.2928820409307891E-2</v>
      </c>
    </row>
    <row r="475" spans="19:21" x14ac:dyDescent="0.25">
      <c r="S475" s="11">
        <v>457</v>
      </c>
      <c r="T475" s="4">
        <v>165.49184209002112</v>
      </c>
      <c r="U475" s="7">
        <v>0.23436892735154125</v>
      </c>
    </row>
    <row r="476" spans="19:21" x14ac:dyDescent="0.25">
      <c r="S476" s="11">
        <v>458</v>
      </c>
      <c r="T476" s="4">
        <v>185.54625340637708</v>
      </c>
      <c r="U476" s="7">
        <v>0.38395057362853047</v>
      </c>
    </row>
    <row r="477" spans="19:21" x14ac:dyDescent="0.25">
      <c r="S477" s="11">
        <v>459</v>
      </c>
      <c r="T477" s="4">
        <v>152.08480930978541</v>
      </c>
      <c r="U477" s="7">
        <v>0.13436868285064096</v>
      </c>
    </row>
    <row r="478" spans="19:21" x14ac:dyDescent="0.25">
      <c r="S478" s="11">
        <v>460</v>
      </c>
      <c r="T478" s="4">
        <v>180.71887604105268</v>
      </c>
      <c r="U478" s="7">
        <v>0.34794417872046468</v>
      </c>
    </row>
    <row r="479" spans="19:21" x14ac:dyDescent="0.25">
      <c r="S479" s="11">
        <v>461</v>
      </c>
      <c r="T479" s="4">
        <v>110.03816882132857</v>
      </c>
      <c r="U479" s="7">
        <v>-0.17924838650459785</v>
      </c>
    </row>
    <row r="480" spans="19:21" x14ac:dyDescent="0.25">
      <c r="S480" s="11">
        <v>462</v>
      </c>
      <c r="T480" s="4">
        <v>173.52114135892555</v>
      </c>
      <c r="U480" s="7">
        <v>0.29425778592470775</v>
      </c>
    </row>
    <row r="481" spans="19:21" x14ac:dyDescent="0.25">
      <c r="S481" s="11">
        <v>463</v>
      </c>
      <c r="T481" s="4">
        <v>136.03059208114959</v>
      </c>
      <c r="U481" s="7">
        <v>1.4623644970161775E-2</v>
      </c>
    </row>
    <row r="482" spans="19:21" x14ac:dyDescent="0.25">
      <c r="S482" s="11">
        <v>464</v>
      </c>
      <c r="T482" s="4">
        <v>155.79580129888089</v>
      </c>
      <c r="U482" s="7">
        <v>0.1620481934726703</v>
      </c>
    </row>
    <row r="483" spans="19:21" x14ac:dyDescent="0.25">
      <c r="S483" s="11">
        <v>465</v>
      </c>
      <c r="T483" s="4">
        <v>123.76355805171556</v>
      </c>
      <c r="U483" s="7">
        <v>-7.6873588038222085E-2</v>
      </c>
    </row>
    <row r="484" spans="19:21" x14ac:dyDescent="0.25">
      <c r="S484" s="11">
        <v>466</v>
      </c>
      <c r="T484" s="4">
        <v>124.77645935598291</v>
      </c>
      <c r="U484" s="7">
        <v>-6.9318569732356838E-2</v>
      </c>
    </row>
    <row r="485" spans="19:21" x14ac:dyDescent="0.25">
      <c r="S485" s="11">
        <v>467</v>
      </c>
      <c r="T485" s="4">
        <v>123.49582004809632</v>
      </c>
      <c r="U485" s="7">
        <v>-7.8870589631563126E-2</v>
      </c>
    </row>
    <row r="486" spans="19:21" x14ac:dyDescent="0.25">
      <c r="S486" s="11">
        <v>468</v>
      </c>
      <c r="T486" s="4">
        <v>118.25850739712121</v>
      </c>
      <c r="U486" s="7">
        <v>-0.11793460582441107</v>
      </c>
    </row>
    <row r="487" spans="19:21" x14ac:dyDescent="0.25">
      <c r="S487" s="11">
        <v>469</v>
      </c>
      <c r="T487" s="4">
        <v>132.99197427661704</v>
      </c>
      <c r="U487" s="7">
        <v>-8.0407676839184816E-3</v>
      </c>
    </row>
    <row r="488" spans="19:21" x14ac:dyDescent="0.25">
      <c r="S488" s="11">
        <v>470</v>
      </c>
      <c r="T488" s="4">
        <v>145.8030097021059</v>
      </c>
      <c r="U488" s="7">
        <v>8.7514057597567696E-2</v>
      </c>
    </row>
    <row r="489" spans="19:21" x14ac:dyDescent="0.25">
      <c r="S489" s="11">
        <v>471</v>
      </c>
      <c r="T489" s="4">
        <v>149.78037730167523</v>
      </c>
      <c r="U489" s="7">
        <v>0.1171804080083183</v>
      </c>
    </row>
    <row r="490" spans="19:21" x14ac:dyDescent="0.25">
      <c r="S490" s="11">
        <v>472</v>
      </c>
      <c r="T490" s="4">
        <v>171.5711343364442</v>
      </c>
      <c r="U490" s="7">
        <v>0.27971309268624012</v>
      </c>
    </row>
    <row r="491" spans="19:21" x14ac:dyDescent="0.25">
      <c r="S491" s="11">
        <v>473</v>
      </c>
      <c r="T491" s="4">
        <v>184.27917676506397</v>
      </c>
      <c r="U491" s="7">
        <v>0.37449971481363442</v>
      </c>
    </row>
    <row r="492" spans="19:21" x14ac:dyDescent="0.25">
      <c r="S492" s="11">
        <v>474</v>
      </c>
      <c r="T492" s="4">
        <v>181.43956645362016</v>
      </c>
      <c r="U492" s="7">
        <v>0.353319657295593</v>
      </c>
    </row>
    <row r="493" spans="19:21" x14ac:dyDescent="0.25">
      <c r="S493" s="11">
        <v>475</v>
      </c>
      <c r="T493" s="4">
        <v>151.67280822652907</v>
      </c>
      <c r="U493" s="7">
        <v>0.1312956532149554</v>
      </c>
    </row>
    <row r="494" spans="19:21" x14ac:dyDescent="0.25">
      <c r="S494" s="11">
        <v>476</v>
      </c>
      <c r="T494" s="4">
        <v>183.64256104586079</v>
      </c>
      <c r="U494" s="7">
        <v>0.36975133173611385</v>
      </c>
    </row>
    <row r="495" spans="19:21" x14ac:dyDescent="0.25">
      <c r="S495" s="11">
        <v>477</v>
      </c>
      <c r="T495" s="4">
        <v>187.34548113743264</v>
      </c>
      <c r="U495" s="7">
        <v>0.39737063576812592</v>
      </c>
    </row>
    <row r="496" spans="19:21" x14ac:dyDescent="0.25">
      <c r="S496" s="11">
        <v>478</v>
      </c>
      <c r="T496" s="4">
        <v>135.5244534248518</v>
      </c>
      <c r="U496" s="7">
        <v>1.0848462928707336E-2</v>
      </c>
    </row>
    <row r="497" spans="19:21" x14ac:dyDescent="0.25">
      <c r="S497" s="11">
        <v>479</v>
      </c>
      <c r="T497" s="4">
        <v>154.78133872567173</v>
      </c>
      <c r="U497" s="7">
        <v>0.15448152998934694</v>
      </c>
    </row>
    <row r="498" spans="19:21" x14ac:dyDescent="0.25">
      <c r="S498" s="11">
        <v>480</v>
      </c>
      <c r="T498" s="4">
        <v>142.21758245653069</v>
      </c>
      <c r="U498" s="7">
        <v>6.0771108051993039E-2</v>
      </c>
    </row>
    <row r="499" spans="19:21" x14ac:dyDescent="0.25">
      <c r="S499" s="11">
        <v>481</v>
      </c>
      <c r="T499" s="4">
        <v>141.08330517265497</v>
      </c>
      <c r="U499" s="7">
        <v>5.2310771780823329E-2</v>
      </c>
    </row>
    <row r="500" spans="19:21" x14ac:dyDescent="0.25">
      <c r="S500" s="11">
        <v>482</v>
      </c>
      <c r="T500" s="4">
        <v>144.86707352720214</v>
      </c>
      <c r="U500" s="7">
        <v>8.05331060431278E-2</v>
      </c>
    </row>
    <row r="501" spans="19:21" x14ac:dyDescent="0.25">
      <c r="S501" s="11">
        <v>483</v>
      </c>
      <c r="T501" s="4">
        <v>181.31358869761664</v>
      </c>
      <c r="U501" s="7">
        <v>0.35238001564568244</v>
      </c>
    </row>
    <row r="502" spans="19:21" x14ac:dyDescent="0.25">
      <c r="S502" s="11">
        <v>484</v>
      </c>
      <c r="T502" s="4">
        <v>172.59179520919625</v>
      </c>
      <c r="U502" s="7">
        <v>0.28732598798535292</v>
      </c>
    </row>
    <row r="503" spans="19:21" x14ac:dyDescent="0.25">
      <c r="S503" s="11">
        <v>485</v>
      </c>
      <c r="T503" s="4">
        <v>138.43244507689397</v>
      </c>
      <c r="U503" s="7">
        <v>3.2538562518788616E-2</v>
      </c>
    </row>
    <row r="504" spans="19:21" x14ac:dyDescent="0.25">
      <c r="S504" s="11">
        <v>486</v>
      </c>
      <c r="T504" s="4">
        <v>171.14493956014778</v>
      </c>
      <c r="U504" s="7">
        <v>0.27653419527222933</v>
      </c>
    </row>
    <row r="505" spans="19:21" x14ac:dyDescent="0.25">
      <c r="S505" s="11">
        <v>487</v>
      </c>
      <c r="T505" s="4">
        <v>140.415345557633</v>
      </c>
      <c r="U505" s="7">
        <v>4.7328601160834038E-2</v>
      </c>
    </row>
    <row r="506" spans="19:21" x14ac:dyDescent="0.25">
      <c r="S506" s="11">
        <v>488</v>
      </c>
      <c r="T506" s="4">
        <v>125.189322829216</v>
      </c>
      <c r="U506" s="7">
        <v>-6.62391077107779E-2</v>
      </c>
    </row>
    <row r="507" spans="19:21" x14ac:dyDescent="0.25">
      <c r="S507" s="11">
        <v>489</v>
      </c>
      <c r="T507" s="4">
        <v>175.79108030908742</v>
      </c>
      <c r="U507" s="7">
        <v>0.3111887842849812</v>
      </c>
    </row>
    <row r="508" spans="19:21" x14ac:dyDescent="0.25">
      <c r="S508" s="11">
        <v>490</v>
      </c>
      <c r="T508" s="4">
        <v>154.00294842970752</v>
      </c>
      <c r="U508" s="7">
        <v>0.14867568009030752</v>
      </c>
    </row>
    <row r="509" spans="19:21" x14ac:dyDescent="0.25">
      <c r="S509" s="11">
        <v>491</v>
      </c>
      <c r="T509" s="4">
        <v>111.02544029406467</v>
      </c>
      <c r="U509" s="7">
        <v>-0.1718845357345814</v>
      </c>
    </row>
    <row r="510" spans="19:21" x14ac:dyDescent="0.25">
      <c r="S510" s="11">
        <v>492</v>
      </c>
      <c r="T510" s="4">
        <v>202.85673680601593</v>
      </c>
      <c r="U510" s="7">
        <v>0.51306583729406974</v>
      </c>
    </row>
    <row r="511" spans="19:21" x14ac:dyDescent="0.25">
      <c r="S511" s="11">
        <v>493</v>
      </c>
      <c r="T511" s="4">
        <v>154.07460430256364</v>
      </c>
      <c r="U511" s="7">
        <v>0.14921014621140927</v>
      </c>
    </row>
    <row r="512" spans="19:21" x14ac:dyDescent="0.25">
      <c r="S512" s="11">
        <v>494</v>
      </c>
      <c r="T512" s="4">
        <v>161.355836528835</v>
      </c>
      <c r="U512" s="7">
        <v>0.20351932966983677</v>
      </c>
    </row>
    <row r="513" spans="19:21" x14ac:dyDescent="0.25">
      <c r="S513" s="11">
        <v>495</v>
      </c>
      <c r="T513" s="4">
        <v>166.5040886888896</v>
      </c>
      <c r="U513" s="7">
        <v>0.24191906234720384</v>
      </c>
    </row>
    <row r="514" spans="19:21" x14ac:dyDescent="0.25">
      <c r="S514" s="11">
        <v>496</v>
      </c>
      <c r="T514" s="4">
        <v>159.31193066953122</v>
      </c>
      <c r="U514" s="7">
        <v>0.18827426470896724</v>
      </c>
    </row>
    <row r="515" spans="19:21" x14ac:dyDescent="0.25">
      <c r="S515" s="11">
        <v>497</v>
      </c>
      <c r="T515" s="4">
        <v>136.01884243863014</v>
      </c>
      <c r="U515" s="7">
        <v>1.4536006851869621E-2</v>
      </c>
    </row>
    <row r="516" spans="19:21" x14ac:dyDescent="0.25">
      <c r="S516" s="11">
        <v>498</v>
      </c>
      <c r="T516" s="4">
        <v>122.45005638056558</v>
      </c>
      <c r="U516" s="7">
        <v>-8.667072140996801E-2</v>
      </c>
    </row>
    <row r="517" spans="19:21" x14ac:dyDescent="0.25">
      <c r="S517" s="11">
        <v>499</v>
      </c>
      <c r="T517" s="4">
        <v>201.56983836348317</v>
      </c>
      <c r="U517" s="7">
        <v>0.50346713182280278</v>
      </c>
    </row>
    <row r="518" spans="19:21" x14ac:dyDescent="0.25">
      <c r="S518" s="11">
        <v>500</v>
      </c>
      <c r="T518" s="4">
        <v>159.07963792558203</v>
      </c>
      <c r="U518" s="7">
        <v>0.18654164187053057</v>
      </c>
    </row>
    <row r="519" spans="19:21" x14ac:dyDescent="0.25">
      <c r="S519" s="11">
        <v>501</v>
      </c>
      <c r="T519" s="4">
        <v>198.36681815894474</v>
      </c>
      <c r="U519" s="7">
        <v>0.4795764761612944</v>
      </c>
    </row>
    <row r="520" spans="19:21" x14ac:dyDescent="0.25">
      <c r="S520" s="11">
        <v>502</v>
      </c>
      <c r="T520" s="4">
        <v>205.19226088077102</v>
      </c>
      <c r="U520" s="7">
        <v>0.5304860213378908</v>
      </c>
    </row>
    <row r="521" spans="19:21" x14ac:dyDescent="0.25">
      <c r="S521" s="11">
        <v>503</v>
      </c>
      <c r="T521" s="4">
        <v>157.45724668874914</v>
      </c>
      <c r="U521" s="7">
        <v>0.17444056603825731</v>
      </c>
    </row>
    <row r="522" spans="19:21" x14ac:dyDescent="0.25">
      <c r="S522" s="11">
        <v>504</v>
      </c>
      <c r="T522" s="4">
        <v>147.14013862990294</v>
      </c>
      <c r="U522" s="7">
        <v>9.748742171927316E-2</v>
      </c>
    </row>
    <row r="523" spans="19:21" x14ac:dyDescent="0.25">
      <c r="S523" s="11">
        <v>505</v>
      </c>
      <c r="T523" s="4">
        <v>154.57694430087727</v>
      </c>
      <c r="U523" s="7">
        <v>0.15295699485997827</v>
      </c>
    </row>
    <row r="524" spans="19:21" x14ac:dyDescent="0.25">
      <c r="S524" s="11">
        <v>506</v>
      </c>
      <c r="T524" s="4">
        <v>207.04406376349851</v>
      </c>
      <c r="U524" s="7">
        <v>0.54429823050271153</v>
      </c>
    </row>
    <row r="525" spans="19:21" x14ac:dyDescent="0.25">
      <c r="S525" s="11">
        <v>507</v>
      </c>
      <c r="T525" s="4">
        <v>147.23602443884133</v>
      </c>
      <c r="U525" s="7">
        <v>9.820261384979001E-2</v>
      </c>
    </row>
    <row r="526" spans="19:21" x14ac:dyDescent="0.25">
      <c r="S526" s="11">
        <v>508</v>
      </c>
      <c r="T526" s="4">
        <v>185.58640361385838</v>
      </c>
      <c r="U526" s="7">
        <v>0.38425004560198683</v>
      </c>
    </row>
    <row r="527" spans="19:21" x14ac:dyDescent="0.25">
      <c r="S527" s="11">
        <v>509</v>
      </c>
      <c r="T527" s="4">
        <v>167.71381168160849</v>
      </c>
      <c r="U527" s="7">
        <v>0.25094213233093532</v>
      </c>
    </row>
    <row r="528" spans="19:21" x14ac:dyDescent="0.25">
      <c r="S528" s="11">
        <v>510</v>
      </c>
      <c r="T528" s="4">
        <v>126.257094011192</v>
      </c>
      <c r="U528" s="7">
        <v>-5.8274826499649435E-2</v>
      </c>
    </row>
    <row r="529" spans="19:21" x14ac:dyDescent="0.25">
      <c r="S529" s="11">
        <v>511</v>
      </c>
      <c r="T529" s="4">
        <v>124.70674242866872</v>
      </c>
      <c r="U529" s="7">
        <v>-6.9838573665482739E-2</v>
      </c>
    </row>
    <row r="530" spans="19:21" x14ac:dyDescent="0.25">
      <c r="S530" s="11">
        <v>512</v>
      </c>
      <c r="T530" s="4">
        <v>151.51962633756986</v>
      </c>
      <c r="U530" s="7">
        <v>0.13015310164518445</v>
      </c>
    </row>
    <row r="531" spans="19:21" x14ac:dyDescent="0.25">
      <c r="S531" s="11">
        <v>513</v>
      </c>
      <c r="T531" s="4">
        <v>142.16913452973373</v>
      </c>
      <c r="U531" s="7">
        <v>6.0409745131153381E-2</v>
      </c>
    </row>
    <row r="532" spans="19:21" x14ac:dyDescent="0.25">
      <c r="S532" s="11">
        <v>514</v>
      </c>
      <c r="T532" s="4">
        <v>138.5358597781559</v>
      </c>
      <c r="U532" s="7">
        <v>3.330991107746617E-2</v>
      </c>
    </row>
    <row r="533" spans="19:21" x14ac:dyDescent="0.25">
      <c r="S533" s="11">
        <v>515</v>
      </c>
      <c r="T533" s="4">
        <v>185.31703121758989</v>
      </c>
      <c r="U533" s="7">
        <v>0.38224085341679648</v>
      </c>
    </row>
    <row r="534" spans="19:21" x14ac:dyDescent="0.25">
      <c r="S534" s="11">
        <v>516</v>
      </c>
      <c r="T534" s="4">
        <v>163.34359395565988</v>
      </c>
      <c r="U534" s="7">
        <v>0.21834559525367259</v>
      </c>
    </row>
    <row r="535" spans="19:21" x14ac:dyDescent="0.25">
      <c r="S535" s="11">
        <v>517</v>
      </c>
      <c r="T535" s="4">
        <v>182.09610831165003</v>
      </c>
      <c r="U535" s="7">
        <v>0.35821666526180374</v>
      </c>
    </row>
    <row r="536" spans="19:21" x14ac:dyDescent="0.25">
      <c r="S536" s="11">
        <v>518</v>
      </c>
      <c r="T536" s="4">
        <v>132.24586999741493</v>
      </c>
      <c r="U536" s="7">
        <v>-1.360580295804481E-2</v>
      </c>
    </row>
    <row r="537" spans="19:21" x14ac:dyDescent="0.25">
      <c r="S537" s="11">
        <v>519</v>
      </c>
      <c r="T537" s="4">
        <v>150.67867502089919</v>
      </c>
      <c r="U537" s="7">
        <v>0.1238806222189841</v>
      </c>
    </row>
    <row r="538" spans="19:21" x14ac:dyDescent="0.25">
      <c r="S538" s="11">
        <v>520</v>
      </c>
      <c r="T538" s="4">
        <v>144.28485766193646</v>
      </c>
      <c r="U538" s="7">
        <v>7.6190480062179988E-2</v>
      </c>
    </row>
    <row r="539" spans="19:21" x14ac:dyDescent="0.25">
      <c r="S539" s="11">
        <v>521</v>
      </c>
      <c r="T539" s="4">
        <v>139.00701425050852</v>
      </c>
      <c r="U539" s="7">
        <v>3.6824153431107121E-2</v>
      </c>
    </row>
    <row r="540" spans="19:21" x14ac:dyDescent="0.25">
      <c r="S540" s="11">
        <v>522</v>
      </c>
      <c r="T540" s="4">
        <v>126.70954621127143</v>
      </c>
      <c r="U540" s="7">
        <v>-5.49000804708627E-2</v>
      </c>
    </row>
    <row r="541" spans="19:21" x14ac:dyDescent="0.25">
      <c r="S541" s="11">
        <v>523</v>
      </c>
      <c r="T541" s="4">
        <v>134.13928200328996</v>
      </c>
      <c r="U541" s="7">
        <v>5.1675992608313237E-4</v>
      </c>
    </row>
    <row r="542" spans="19:21" x14ac:dyDescent="0.25">
      <c r="S542" s="11">
        <v>524</v>
      </c>
      <c r="T542" s="4">
        <v>153.42274172737578</v>
      </c>
      <c r="U542" s="7">
        <v>0.14434804003412993</v>
      </c>
    </row>
    <row r="543" spans="19:21" x14ac:dyDescent="0.25">
      <c r="S543" s="11">
        <v>525</v>
      </c>
      <c r="T543" s="4">
        <v>164.18183148085444</v>
      </c>
      <c r="U543" s="7">
        <v>0.22459783307864889</v>
      </c>
    </row>
    <row r="544" spans="19:21" x14ac:dyDescent="0.25">
      <c r="S544" s="11">
        <v>526</v>
      </c>
      <c r="T544" s="4">
        <v>165.64925596767026</v>
      </c>
      <c r="U544" s="7">
        <v>0.23554304443701257</v>
      </c>
    </row>
    <row r="545" spans="19:21" x14ac:dyDescent="0.25">
      <c r="S545" s="11">
        <v>527</v>
      </c>
      <c r="T545" s="4">
        <v>170.53525534630418</v>
      </c>
      <c r="U545" s="7">
        <v>0.2719866886425315</v>
      </c>
    </row>
    <row r="546" spans="19:21" x14ac:dyDescent="0.25">
      <c r="S546" s="11">
        <v>528</v>
      </c>
      <c r="T546" s="4">
        <v>166.73419000084345</v>
      </c>
      <c r="U546" s="7">
        <v>0.24363533975418417</v>
      </c>
    </row>
    <row r="547" spans="19:21" x14ac:dyDescent="0.25">
      <c r="S547" s="11">
        <v>529</v>
      </c>
      <c r="T547" s="4">
        <v>138.74716936632493</v>
      </c>
      <c r="U547" s="7">
        <v>3.4886024959535522E-2</v>
      </c>
    </row>
    <row r="548" spans="19:21" x14ac:dyDescent="0.25">
      <c r="S548" s="11">
        <v>530</v>
      </c>
      <c r="T548" s="4">
        <v>181.19848982150936</v>
      </c>
      <c r="U548" s="7">
        <v>0.35152151727835723</v>
      </c>
    </row>
    <row r="549" spans="19:21" x14ac:dyDescent="0.25">
      <c r="S549" s="11">
        <v>531</v>
      </c>
      <c r="T549" s="4">
        <v>114.7742225979454</v>
      </c>
      <c r="U549" s="7">
        <v>-0.14392315508357278</v>
      </c>
    </row>
    <row r="550" spans="19:21" x14ac:dyDescent="0.25">
      <c r="S550" s="11">
        <v>532</v>
      </c>
      <c r="T550" s="4">
        <v>175.12922737870085</v>
      </c>
      <c r="U550" s="7">
        <v>0.30625216214440854</v>
      </c>
    </row>
    <row r="551" spans="19:21" x14ac:dyDescent="0.25">
      <c r="S551" s="11">
        <v>533</v>
      </c>
      <c r="T551" s="4">
        <v>113.8305939330359</v>
      </c>
      <c r="U551" s="7">
        <v>-0.1509614833069598</v>
      </c>
    </row>
    <row r="552" spans="19:21" x14ac:dyDescent="0.25">
      <c r="S552" s="11">
        <v>534</v>
      </c>
      <c r="T552" s="4">
        <v>170.73000019863568</v>
      </c>
      <c r="U552" s="7">
        <v>0.27343924963553135</v>
      </c>
    </row>
    <row r="553" spans="19:21" x14ac:dyDescent="0.25">
      <c r="S553" s="11">
        <v>535</v>
      </c>
      <c r="T553" s="4">
        <v>125.01011083682347</v>
      </c>
      <c r="U553" s="7">
        <v>-6.7575812360532006E-2</v>
      </c>
    </row>
    <row r="554" spans="19:21" x14ac:dyDescent="0.25">
      <c r="S554" s="11">
        <v>536</v>
      </c>
      <c r="T554" s="4">
        <v>188.24489300702751</v>
      </c>
      <c r="U554" s="7">
        <v>0.40407916019264212</v>
      </c>
    </row>
    <row r="555" spans="19:21" x14ac:dyDescent="0.25">
      <c r="S555" s="11">
        <v>537</v>
      </c>
      <c r="T555" s="4">
        <v>142.37963489752525</v>
      </c>
      <c r="U555" s="7">
        <v>6.1979823208214047E-2</v>
      </c>
    </row>
    <row r="556" spans="19:21" x14ac:dyDescent="0.25">
      <c r="S556" s="11">
        <v>538</v>
      </c>
      <c r="T556" s="4">
        <v>118.70037851273401</v>
      </c>
      <c r="U556" s="7">
        <v>-0.11463878188458265</v>
      </c>
    </row>
    <row r="557" spans="19:21" x14ac:dyDescent="0.25">
      <c r="S557" s="11">
        <v>539</v>
      </c>
      <c r="T557" s="4">
        <v>129.58897156908154</v>
      </c>
      <c r="U557" s="7">
        <v>-3.3423050875799665E-2</v>
      </c>
    </row>
    <row r="558" spans="19:21" x14ac:dyDescent="0.25">
      <c r="S558" s="11">
        <v>540</v>
      </c>
      <c r="T558" s="4">
        <v>152.62403133786248</v>
      </c>
      <c r="U558" s="7">
        <v>0.13839062682078374</v>
      </c>
    </row>
    <row r="559" spans="19:21" x14ac:dyDescent="0.25">
      <c r="S559" s="11">
        <v>541</v>
      </c>
      <c r="T559" s="4">
        <v>150.7128372951527</v>
      </c>
      <c r="U559" s="7">
        <v>0.12413543145485728</v>
      </c>
    </row>
    <row r="560" spans="19:21" x14ac:dyDescent="0.25">
      <c r="S560" s="11">
        <v>542</v>
      </c>
      <c r="T560" s="4">
        <v>114.79299670738531</v>
      </c>
      <c r="U560" s="7">
        <v>-0.14378312294036455</v>
      </c>
    </row>
    <row r="561" spans="19:21" x14ac:dyDescent="0.25">
      <c r="S561" s="11">
        <v>543</v>
      </c>
      <c r="T561" s="4">
        <v>144.52533747917434</v>
      </c>
      <c r="U561" s="7">
        <v>7.7984168562499789E-2</v>
      </c>
    </row>
    <row r="562" spans="19:21" x14ac:dyDescent="0.25">
      <c r="S562" s="11">
        <v>544</v>
      </c>
      <c r="T562" s="4">
        <v>131.95020299436624</v>
      </c>
      <c r="U562" s="7">
        <v>-1.5811121098185721E-2</v>
      </c>
    </row>
    <row r="563" spans="19:21" x14ac:dyDescent="0.25">
      <c r="S563" s="11">
        <v>545</v>
      </c>
      <c r="T563" s="4">
        <v>142.88034165249769</v>
      </c>
      <c r="U563" s="7">
        <v>6.5714489837381151E-2</v>
      </c>
    </row>
    <row r="564" spans="19:21" x14ac:dyDescent="0.25">
      <c r="S564" s="11">
        <v>546</v>
      </c>
      <c r="T564" s="4">
        <v>198.58790910282178</v>
      </c>
      <c r="U564" s="7">
        <v>0.48122554712330712</v>
      </c>
    </row>
    <row r="565" spans="19:21" x14ac:dyDescent="0.25">
      <c r="S565" s="11">
        <v>547</v>
      </c>
      <c r="T565" s="4">
        <v>182.90920659373194</v>
      </c>
      <c r="U565" s="7">
        <v>0.36428139474701227</v>
      </c>
    </row>
    <row r="566" spans="19:21" x14ac:dyDescent="0.25">
      <c r="S566" s="11">
        <v>548</v>
      </c>
      <c r="T566" s="4">
        <v>218.90898113597251</v>
      </c>
      <c r="U566" s="7">
        <v>0.63279615973724557</v>
      </c>
    </row>
    <row r="567" spans="19:21" x14ac:dyDescent="0.25">
      <c r="S567" s="11">
        <v>549</v>
      </c>
      <c r="T567" s="4">
        <v>187.9428122952034</v>
      </c>
      <c r="U567" s="7">
        <v>0.40182600354444253</v>
      </c>
    </row>
    <row r="568" spans="19:21" x14ac:dyDescent="0.25">
      <c r="S568" s="11">
        <v>550</v>
      </c>
      <c r="T568" s="4">
        <v>163.54614668194981</v>
      </c>
      <c r="U568" s="7">
        <v>0.21985639354031328</v>
      </c>
    </row>
    <row r="569" spans="19:21" x14ac:dyDescent="0.25">
      <c r="S569" s="11">
        <v>551</v>
      </c>
      <c r="T569" s="4">
        <v>165.01487764298082</v>
      </c>
      <c r="U569" s="7">
        <v>0.23081134961572936</v>
      </c>
    </row>
    <row r="570" spans="19:21" x14ac:dyDescent="0.25">
      <c r="S570" s="11">
        <v>552</v>
      </c>
      <c r="T570" s="4">
        <v>145.6270163858681</v>
      </c>
      <c r="U570" s="7">
        <v>8.6201360377922809E-2</v>
      </c>
    </row>
    <row r="571" spans="19:21" x14ac:dyDescent="0.25">
      <c r="S571" s="11">
        <v>553</v>
      </c>
      <c r="T571" s="4">
        <v>158.21678459865797</v>
      </c>
      <c r="U571" s="7">
        <v>0.18010579994523734</v>
      </c>
    </row>
    <row r="572" spans="19:21" x14ac:dyDescent="0.25">
      <c r="S572" s="11">
        <v>554</v>
      </c>
      <c r="T572" s="4">
        <v>146.4421666630256</v>
      </c>
      <c r="U572" s="7">
        <v>9.2281395263859256E-2</v>
      </c>
    </row>
    <row r="573" spans="19:21" x14ac:dyDescent="0.25">
      <c r="S573" s="11">
        <v>555</v>
      </c>
      <c r="T573" s="4">
        <v>210.25012026850939</v>
      </c>
      <c r="U573" s="7">
        <v>0.56821153329238006</v>
      </c>
    </row>
    <row r="574" spans="19:21" x14ac:dyDescent="0.25">
      <c r="S574" s="11">
        <v>556</v>
      </c>
      <c r="T574" s="4">
        <v>128.03008079386689</v>
      </c>
      <c r="U574" s="7">
        <v>-4.5050490088260675E-2</v>
      </c>
    </row>
    <row r="575" spans="19:21" x14ac:dyDescent="0.25">
      <c r="S575" s="11">
        <v>557</v>
      </c>
      <c r="T575" s="4">
        <v>128.13458199096755</v>
      </c>
      <c r="U575" s="7">
        <v>-4.4271037585085771E-2</v>
      </c>
    </row>
    <row r="576" spans="19:21" x14ac:dyDescent="0.25">
      <c r="S576" s="11">
        <v>558</v>
      </c>
      <c r="T576" s="4">
        <v>140.28753446909468</v>
      </c>
      <c r="U576" s="7">
        <v>4.6375285068208205E-2</v>
      </c>
    </row>
    <row r="577" spans="19:21" x14ac:dyDescent="0.25">
      <c r="S577" s="11">
        <v>559</v>
      </c>
      <c r="T577" s="4">
        <v>178.50410857784738</v>
      </c>
      <c r="U577" s="7">
        <v>0.33142469290555221</v>
      </c>
    </row>
    <row r="578" spans="19:21" x14ac:dyDescent="0.25">
      <c r="S578" s="11">
        <v>560</v>
      </c>
      <c r="T578" s="4">
        <v>109.20003063298449</v>
      </c>
      <c r="U578" s="7">
        <v>-0.18549988339684864</v>
      </c>
    </row>
    <row r="579" spans="19:21" x14ac:dyDescent="0.25">
      <c r="S579" s="11">
        <v>561</v>
      </c>
      <c r="T579" s="4">
        <v>163.13941240703085</v>
      </c>
      <c r="U579" s="7">
        <v>0.21682264792295713</v>
      </c>
    </row>
    <row r="580" spans="19:21" x14ac:dyDescent="0.25">
      <c r="S580" s="11">
        <v>562</v>
      </c>
      <c r="T580" s="4">
        <v>156.08282190417813</v>
      </c>
      <c r="U580" s="7">
        <v>0.16418901994613377</v>
      </c>
    </row>
    <row r="581" spans="19:21" x14ac:dyDescent="0.25">
      <c r="S581" s="11">
        <v>563</v>
      </c>
      <c r="T581" s="4">
        <v>147.36528238675285</v>
      </c>
      <c r="U581" s="7">
        <v>9.9166721762906418E-2</v>
      </c>
    </row>
    <row r="582" spans="19:21" x14ac:dyDescent="0.25">
      <c r="S582" s="11">
        <v>564</v>
      </c>
      <c r="T582" s="4">
        <v>147.02148689983304</v>
      </c>
      <c r="U582" s="7">
        <v>9.6602423359685607E-2</v>
      </c>
    </row>
    <row r="583" spans="19:21" x14ac:dyDescent="0.25">
      <c r="S583" s="11">
        <v>565</v>
      </c>
      <c r="T583" s="4">
        <v>166.55511647243796</v>
      </c>
      <c r="U583" s="7">
        <v>0.24229966787825741</v>
      </c>
    </row>
    <row r="584" spans="19:21" x14ac:dyDescent="0.25">
      <c r="S584" s="11">
        <v>566</v>
      </c>
      <c r="T584" s="4">
        <v>153.99688293993381</v>
      </c>
      <c r="U584" s="7">
        <v>0.14863043887472083</v>
      </c>
    </row>
    <row r="585" spans="19:21" x14ac:dyDescent="0.25">
      <c r="S585" s="11">
        <v>567</v>
      </c>
      <c r="T585" s="4">
        <v>160.56748427862948</v>
      </c>
      <c r="U585" s="7">
        <v>0.19763917564428657</v>
      </c>
    </row>
    <row r="586" spans="19:21" x14ac:dyDescent="0.25">
      <c r="S586" s="11">
        <v>568</v>
      </c>
      <c r="T586" s="4">
        <v>197.28436488269597</v>
      </c>
      <c r="U586" s="7">
        <v>0.47150268428952025</v>
      </c>
    </row>
    <row r="587" spans="19:21" x14ac:dyDescent="0.25">
      <c r="S587" s="11">
        <v>569</v>
      </c>
      <c r="T587" s="4">
        <v>137.55968770767365</v>
      </c>
      <c r="U587" s="7">
        <v>2.6028848420031725E-2</v>
      </c>
    </row>
    <row r="588" spans="19:21" x14ac:dyDescent="0.25">
      <c r="S588" s="11">
        <v>570</v>
      </c>
      <c r="T588" s="4">
        <v>165.20662213870185</v>
      </c>
      <c r="U588" s="7">
        <v>0.23224153157829375</v>
      </c>
    </row>
    <row r="589" spans="19:21" x14ac:dyDescent="0.25">
      <c r="S589" s="11">
        <v>571</v>
      </c>
      <c r="T589" s="4">
        <v>110.60024327791541</v>
      </c>
      <c r="U589" s="7">
        <v>-0.17505599106500025</v>
      </c>
    </row>
    <row r="590" spans="19:21" x14ac:dyDescent="0.25">
      <c r="S590" s="11">
        <v>572</v>
      </c>
      <c r="T590" s="4">
        <v>154.93640427808714</v>
      </c>
      <c r="U590" s="7">
        <v>0.15563813140961558</v>
      </c>
    </row>
    <row r="591" spans="19:21" x14ac:dyDescent="0.25">
      <c r="S591" s="11">
        <v>573</v>
      </c>
      <c r="T591" s="4">
        <v>150.66897382538281</v>
      </c>
      <c r="U591" s="7">
        <v>0.12380826303709114</v>
      </c>
    </row>
    <row r="592" spans="19:21" x14ac:dyDescent="0.25">
      <c r="S592" s="11">
        <v>574</v>
      </c>
      <c r="T592" s="4">
        <v>140.60108781541842</v>
      </c>
      <c r="U592" s="7">
        <v>4.8714013690001057E-2</v>
      </c>
    </row>
    <row r="593" spans="19:21" x14ac:dyDescent="0.25">
      <c r="S593" s="11">
        <v>575</v>
      </c>
      <c r="T593" s="4">
        <v>112.01453097999823</v>
      </c>
      <c r="U593" s="7">
        <v>-0.16450711583502475</v>
      </c>
    </row>
    <row r="594" spans="19:21" x14ac:dyDescent="0.25">
      <c r="S594" s="11">
        <v>576</v>
      </c>
      <c r="T594" s="4">
        <v>149.21407505085227</v>
      </c>
      <c r="U594" s="7">
        <v>0.11295647833857148</v>
      </c>
    </row>
    <row r="595" spans="19:21" x14ac:dyDescent="0.25">
      <c r="S595" s="11">
        <v>577</v>
      </c>
      <c r="T595" s="4">
        <v>150.6713587020605</v>
      </c>
      <c r="U595" s="7">
        <v>0.12382605133184543</v>
      </c>
    </row>
    <row r="596" spans="19:21" x14ac:dyDescent="0.25">
      <c r="S596" s="11">
        <v>578</v>
      </c>
      <c r="T596" s="4">
        <v>151.39034941010519</v>
      </c>
      <c r="U596" s="7">
        <v>0.12918885216756326</v>
      </c>
    </row>
    <row r="597" spans="19:21" x14ac:dyDescent="0.25">
      <c r="S597" s="11">
        <v>579</v>
      </c>
      <c r="T597" s="4">
        <v>145.40155593572109</v>
      </c>
      <c r="U597" s="7">
        <v>8.45196981854337E-2</v>
      </c>
    </row>
    <row r="598" spans="19:21" x14ac:dyDescent="0.25">
      <c r="S598" s="11">
        <v>580</v>
      </c>
      <c r="T598" s="4">
        <v>165.49876917487367</v>
      </c>
      <c r="U598" s="7">
        <v>0.23442059502404478</v>
      </c>
    </row>
    <row r="599" spans="19:21" x14ac:dyDescent="0.25">
      <c r="S599" s="11">
        <v>581</v>
      </c>
      <c r="T599" s="4">
        <v>177.48928059169751</v>
      </c>
      <c r="U599" s="7">
        <v>0.32385530388377348</v>
      </c>
    </row>
    <row r="600" spans="19:21" x14ac:dyDescent="0.25">
      <c r="S600" s="11">
        <v>582</v>
      </c>
      <c r="T600" s="4">
        <v>135.30091287224832</v>
      </c>
      <c r="U600" s="7">
        <v>9.1811208491707763E-3</v>
      </c>
    </row>
    <row r="601" spans="19:21" x14ac:dyDescent="0.25">
      <c r="S601" s="11">
        <v>583</v>
      </c>
      <c r="T601" s="4">
        <v>153.97848527998198</v>
      </c>
      <c r="U601" s="7">
        <v>0.14849321458925924</v>
      </c>
    </row>
    <row r="602" spans="19:21" x14ac:dyDescent="0.25">
      <c r="S602" s="11">
        <v>584</v>
      </c>
      <c r="T602" s="4">
        <v>212.59763140188551</v>
      </c>
      <c r="U602" s="7">
        <v>0.58572112629138151</v>
      </c>
    </row>
    <row r="603" spans="19:21" x14ac:dyDescent="0.25">
      <c r="S603" s="11">
        <v>585</v>
      </c>
      <c r="T603" s="4">
        <v>151.44375410212101</v>
      </c>
      <c r="U603" s="7">
        <v>0.12958718656016277</v>
      </c>
    </row>
    <row r="604" spans="19:21" x14ac:dyDescent="0.25">
      <c r="S604" s="11">
        <v>586</v>
      </c>
      <c r="T604" s="4">
        <v>136.03725257898819</v>
      </c>
      <c r="U604" s="7">
        <v>1.4673324226062379E-2</v>
      </c>
    </row>
    <row r="605" spans="19:21" x14ac:dyDescent="0.25">
      <c r="S605" s="11">
        <v>587</v>
      </c>
      <c r="T605" s="4">
        <v>164.75145916864776</v>
      </c>
      <c r="U605" s="7">
        <v>0.22884656648502855</v>
      </c>
    </row>
    <row r="606" spans="19:21" x14ac:dyDescent="0.25">
      <c r="S606" s="11">
        <v>588</v>
      </c>
      <c r="T606" s="4">
        <v>123.87001418522497</v>
      </c>
      <c r="U606" s="7">
        <v>-7.6079554074550804E-2</v>
      </c>
    </row>
    <row r="607" spans="19:21" x14ac:dyDescent="0.25">
      <c r="S607" s="11">
        <v>589</v>
      </c>
      <c r="T607" s="4">
        <v>185.06131305435832</v>
      </c>
      <c r="U607" s="7">
        <v>0.38033350529095489</v>
      </c>
    </row>
    <row r="608" spans="19:21" x14ac:dyDescent="0.25">
      <c r="S608" s="11">
        <v>590</v>
      </c>
      <c r="T608" s="4">
        <v>209.16941766238108</v>
      </c>
      <c r="U608" s="7">
        <v>0.5601507993017163</v>
      </c>
    </row>
    <row r="609" spans="19:21" x14ac:dyDescent="0.25">
      <c r="S609" s="11">
        <v>591</v>
      </c>
      <c r="T609" s="4">
        <v>143.29250460121352</v>
      </c>
      <c r="U609" s="7">
        <v>6.8788726793566957E-2</v>
      </c>
    </row>
    <row r="610" spans="19:21" x14ac:dyDescent="0.25">
      <c r="S610" s="11">
        <v>592</v>
      </c>
      <c r="T610" s="4">
        <v>149.1875029360595</v>
      </c>
      <c r="U610" s="7">
        <v>0.11275828250958098</v>
      </c>
    </row>
    <row r="611" spans="19:21" x14ac:dyDescent="0.25">
      <c r="S611" s="11">
        <v>593</v>
      </c>
      <c r="T611" s="4">
        <v>185.39775817978062</v>
      </c>
      <c r="U611" s="7">
        <v>0.38284297888998764</v>
      </c>
    </row>
    <row r="612" spans="19:21" x14ac:dyDescent="0.25">
      <c r="S612" s="11">
        <v>594</v>
      </c>
      <c r="T612" s="4">
        <v>199.98752341474514</v>
      </c>
      <c r="U612" s="7">
        <v>0.4916649766147918</v>
      </c>
    </row>
    <row r="613" spans="19:21" x14ac:dyDescent="0.25">
      <c r="S613" s="11">
        <v>595</v>
      </c>
      <c r="T613" s="4">
        <v>217.93847452936672</v>
      </c>
      <c r="U613" s="7">
        <v>0.62555735458616191</v>
      </c>
    </row>
    <row r="614" spans="19:21" x14ac:dyDescent="0.25">
      <c r="S614" s="11">
        <v>596</v>
      </c>
      <c r="T614" s="4">
        <v>123.2242025188058</v>
      </c>
      <c r="U614" s="7">
        <v>-8.0896527792900685E-2</v>
      </c>
    </row>
    <row r="615" spans="19:21" x14ac:dyDescent="0.25">
      <c r="S615" s="11">
        <v>597</v>
      </c>
      <c r="T615" s="4">
        <v>127.35192579390062</v>
      </c>
      <c r="U615" s="7">
        <v>-5.0108705945396959E-2</v>
      </c>
    </row>
    <row r="616" spans="19:21" x14ac:dyDescent="0.25">
      <c r="S616" s="11">
        <v>598</v>
      </c>
      <c r="T616" s="4">
        <v>166.70429059190624</v>
      </c>
      <c r="U616" s="7">
        <v>0.24341232633628884</v>
      </c>
    </row>
    <row r="617" spans="19:21" x14ac:dyDescent="0.25">
      <c r="S617" s="11">
        <v>599</v>
      </c>
      <c r="T617" s="4">
        <v>193.26928757660613</v>
      </c>
      <c r="U617" s="7">
        <v>0.44155506508992426</v>
      </c>
    </row>
    <row r="618" spans="19:21" x14ac:dyDescent="0.25">
      <c r="S618" s="11">
        <v>600</v>
      </c>
      <c r="T618" s="4">
        <v>137.85655530286203</v>
      </c>
      <c r="U618" s="7">
        <v>2.8243121525039383E-2</v>
      </c>
    </row>
    <row r="619" spans="19:21" x14ac:dyDescent="0.25">
      <c r="S619" s="11">
        <v>601</v>
      </c>
      <c r="T619" s="4">
        <v>122.24879066232305</v>
      </c>
      <c r="U619" s="7">
        <v>-8.8171920173617857E-2</v>
      </c>
    </row>
    <row r="620" spans="19:21" x14ac:dyDescent="0.25">
      <c r="S620" s="11">
        <v>602</v>
      </c>
      <c r="T620" s="4">
        <v>146.01453405082455</v>
      </c>
      <c r="U620" s="7">
        <v>8.9091773333516588E-2</v>
      </c>
    </row>
    <row r="621" spans="19:21" x14ac:dyDescent="0.25">
      <c r="S621" s="11">
        <v>603</v>
      </c>
      <c r="T621" s="4">
        <v>179.30386650610723</v>
      </c>
      <c r="U621" s="7">
        <v>0.33738991949061869</v>
      </c>
    </row>
    <row r="622" spans="19:21" x14ac:dyDescent="0.25">
      <c r="S622" s="11">
        <v>604</v>
      </c>
      <c r="T622" s="4">
        <v>185.25210074050088</v>
      </c>
      <c r="U622" s="7">
        <v>0.38175655061162739</v>
      </c>
    </row>
    <row r="623" spans="19:21" x14ac:dyDescent="0.25">
      <c r="S623" s="11">
        <v>605</v>
      </c>
      <c r="T623" s="4">
        <v>127.76039243444217</v>
      </c>
      <c r="U623" s="7">
        <v>-4.7062038976339426E-2</v>
      </c>
    </row>
    <row r="624" spans="19:21" x14ac:dyDescent="0.25">
      <c r="S624" s="11">
        <v>606</v>
      </c>
      <c r="T624" s="4">
        <v>152.44505530049574</v>
      </c>
      <c r="U624" s="7">
        <v>0.13705568211005992</v>
      </c>
    </row>
    <row r="625" spans="19:21" x14ac:dyDescent="0.25">
      <c r="S625" s="11">
        <v>607</v>
      </c>
      <c r="T625" s="4">
        <v>124.60835070547935</v>
      </c>
      <c r="U625" s="7">
        <v>-7.0572456884617329E-2</v>
      </c>
    </row>
    <row r="626" spans="19:21" x14ac:dyDescent="0.25">
      <c r="S626" s="11">
        <v>608</v>
      </c>
      <c r="T626" s="4">
        <v>186.27944759871014</v>
      </c>
      <c r="U626" s="7">
        <v>0.38941931527344043</v>
      </c>
    </row>
    <row r="627" spans="19:21" x14ac:dyDescent="0.25">
      <c r="S627" s="11">
        <v>609</v>
      </c>
      <c r="T627" s="4">
        <v>147.35642417785132</v>
      </c>
      <c r="U627" s="7">
        <v>9.910065024130188E-2</v>
      </c>
    </row>
    <row r="628" spans="19:21" x14ac:dyDescent="0.25">
      <c r="S628" s="11">
        <v>610</v>
      </c>
      <c r="T628" s="4">
        <v>174.44295947797437</v>
      </c>
      <c r="U628" s="7">
        <v>0.30113343386271629</v>
      </c>
    </row>
    <row r="629" spans="19:21" x14ac:dyDescent="0.25">
      <c r="S629" s="11">
        <v>611</v>
      </c>
      <c r="T629" s="4">
        <v>151.67855612919686</v>
      </c>
      <c r="U629" s="7">
        <v>0.13133852561495396</v>
      </c>
    </row>
    <row r="630" spans="19:21" x14ac:dyDescent="0.25">
      <c r="S630" s="11">
        <v>612</v>
      </c>
      <c r="T630" s="4">
        <v>199.63636209672117</v>
      </c>
      <c r="U630" s="7">
        <v>0.4890457380228328</v>
      </c>
    </row>
    <row r="631" spans="19:21" x14ac:dyDescent="0.25">
      <c r="S631" s="11">
        <v>613</v>
      </c>
      <c r="T631" s="4">
        <v>153.3851128692599</v>
      </c>
      <c r="U631" s="7">
        <v>0.14406737427657124</v>
      </c>
    </row>
    <row r="632" spans="19:21" x14ac:dyDescent="0.25">
      <c r="S632" s="11">
        <v>614</v>
      </c>
      <c r="T632" s="4">
        <v>132.95839729922309</v>
      </c>
      <c r="U632" s="7">
        <v>-8.2912113133206677E-3</v>
      </c>
    </row>
    <row r="633" spans="19:21" x14ac:dyDescent="0.25">
      <c r="S633" s="11">
        <v>615</v>
      </c>
      <c r="T633" s="4">
        <v>147.9033963194502</v>
      </c>
      <c r="U633" s="7">
        <v>0.10318040068210776</v>
      </c>
    </row>
    <row r="634" spans="19:21" x14ac:dyDescent="0.25">
      <c r="S634" s="11">
        <v>616</v>
      </c>
      <c r="T634" s="4">
        <v>173.22515571306428</v>
      </c>
      <c r="U634" s="7">
        <v>0.29205009109468416</v>
      </c>
    </row>
    <row r="635" spans="19:21" x14ac:dyDescent="0.25">
      <c r="S635" s="11">
        <v>617</v>
      </c>
      <c r="T635" s="4">
        <v>158.0330918121725</v>
      </c>
      <c r="U635" s="7">
        <v>0.17873567399248524</v>
      </c>
    </row>
    <row r="636" spans="19:21" x14ac:dyDescent="0.25">
      <c r="S636" s="11">
        <v>618</v>
      </c>
      <c r="T636" s="4">
        <v>124.27563895509445</v>
      </c>
      <c r="U636" s="7">
        <v>-7.3054084022566856E-2</v>
      </c>
    </row>
    <row r="637" spans="19:21" x14ac:dyDescent="0.25">
      <c r="S637" s="11">
        <v>619</v>
      </c>
      <c r="T637" s="4">
        <v>118.18771447671418</v>
      </c>
      <c r="U637" s="7">
        <v>-0.11846263536425616</v>
      </c>
    </row>
    <row r="638" spans="19:21" x14ac:dyDescent="0.25">
      <c r="S638" s="11">
        <v>620</v>
      </c>
      <c r="T638" s="4">
        <v>158.92856971710768</v>
      </c>
      <c r="U638" s="7">
        <v>0.1854148558000126</v>
      </c>
    </row>
    <row r="639" spans="19:21" x14ac:dyDescent="0.25">
      <c r="S639" s="11">
        <v>621</v>
      </c>
      <c r="T639" s="4">
        <v>131.41256276062319</v>
      </c>
      <c r="U639" s="7">
        <v>-1.9821266796276604E-2</v>
      </c>
    </row>
    <row r="640" spans="19:21" x14ac:dyDescent="0.25">
      <c r="S640" s="11">
        <v>622</v>
      </c>
      <c r="T640" s="4">
        <v>118.43757088976336</v>
      </c>
      <c r="U640" s="7">
        <v>-0.11659900880313734</v>
      </c>
    </row>
    <row r="641" spans="19:21" x14ac:dyDescent="0.25">
      <c r="S641" s="11">
        <v>623</v>
      </c>
      <c r="T641" s="4">
        <v>163.65771293705066</v>
      </c>
      <c r="U641" s="7">
        <v>0.22068854282875128</v>
      </c>
    </row>
    <row r="642" spans="19:21" x14ac:dyDescent="0.25">
      <c r="S642" s="11">
        <v>624</v>
      </c>
      <c r="T642" s="4">
        <v>176.17227293829353</v>
      </c>
      <c r="U642" s="7">
        <v>0.3140320201260054</v>
      </c>
    </row>
    <row r="643" spans="19:21" x14ac:dyDescent="0.25">
      <c r="S643" s="11">
        <v>625</v>
      </c>
      <c r="T643" s="4">
        <v>195.58346608650982</v>
      </c>
      <c r="U643" s="7">
        <v>0.45881603704415475</v>
      </c>
    </row>
    <row r="644" spans="19:21" x14ac:dyDescent="0.25">
      <c r="S644" s="11">
        <v>626</v>
      </c>
      <c r="T644" s="4">
        <v>217.80286067092555</v>
      </c>
      <c r="U644" s="7">
        <v>0.6245458392699752</v>
      </c>
    </row>
    <row r="645" spans="19:21" x14ac:dyDescent="0.25">
      <c r="S645" s="11">
        <v>627</v>
      </c>
      <c r="T645" s="4">
        <v>165.42636130139334</v>
      </c>
      <c r="U645" s="7">
        <v>0.23388051988806846</v>
      </c>
    </row>
    <row r="646" spans="19:21" x14ac:dyDescent="0.25">
      <c r="S646" s="11">
        <v>628</v>
      </c>
      <c r="T646" s="4">
        <v>144.76721461879808</v>
      </c>
      <c r="U646" s="7">
        <v>7.9788279397315476E-2</v>
      </c>
    </row>
    <row r="647" spans="19:21" x14ac:dyDescent="0.25">
      <c r="S647" s="11">
        <v>629</v>
      </c>
      <c r="T647" s="4">
        <v>161.22646956441318</v>
      </c>
      <c r="U647" s="7">
        <v>0.20255440862544338</v>
      </c>
    </row>
    <row r="648" spans="19:21" x14ac:dyDescent="0.25">
      <c r="S648" s="11">
        <v>630</v>
      </c>
      <c r="T648" s="4">
        <v>118.01444697372061</v>
      </c>
      <c r="U648" s="7">
        <v>-0.11975500131483097</v>
      </c>
    </row>
    <row r="649" spans="19:21" x14ac:dyDescent="0.25">
      <c r="S649" s="11">
        <v>631</v>
      </c>
      <c r="T649" s="4">
        <v>153.92950579335098</v>
      </c>
      <c r="U649" s="7">
        <v>0.14812788687514722</v>
      </c>
    </row>
    <row r="650" spans="19:21" x14ac:dyDescent="0.25">
      <c r="S650" s="11">
        <v>632</v>
      </c>
      <c r="T650" s="4">
        <v>133.40512190111002</v>
      </c>
      <c r="U650" s="7">
        <v>-4.9591862377114104E-3</v>
      </c>
    </row>
    <row r="651" spans="19:21" x14ac:dyDescent="0.25">
      <c r="S651" s="11">
        <v>633</v>
      </c>
      <c r="T651" s="4">
        <v>172.25656815943069</v>
      </c>
      <c r="U651" s="7">
        <v>0.28482559975707233</v>
      </c>
    </row>
    <row r="652" spans="19:21" x14ac:dyDescent="0.25">
      <c r="S652" s="11">
        <v>634</v>
      </c>
      <c r="T652" s="4">
        <v>186.87750187119741</v>
      </c>
      <c r="U652" s="7">
        <v>0.39388007661070645</v>
      </c>
    </row>
    <row r="653" spans="19:21" x14ac:dyDescent="0.25">
      <c r="S653" s="11">
        <v>635</v>
      </c>
      <c r="T653" s="4">
        <v>123.72596596485452</v>
      </c>
      <c r="U653" s="7">
        <v>-7.7153979526705996E-2</v>
      </c>
    </row>
    <row r="654" spans="19:21" x14ac:dyDescent="0.25">
      <c r="S654" s="11">
        <v>636</v>
      </c>
      <c r="T654" s="4">
        <v>151.98276676208241</v>
      </c>
      <c r="U654" s="7">
        <v>0.13360756889745962</v>
      </c>
    </row>
    <row r="655" spans="19:21" x14ac:dyDescent="0.25">
      <c r="S655" s="11">
        <v>637</v>
      </c>
      <c r="T655" s="4">
        <v>153.81115644476375</v>
      </c>
      <c r="U655" s="7">
        <v>0.14724514391559462</v>
      </c>
    </row>
    <row r="656" spans="19:21" x14ac:dyDescent="0.25">
      <c r="S656" s="11">
        <v>638</v>
      </c>
      <c r="T656" s="4">
        <v>125.97690583038724</v>
      </c>
      <c r="U656" s="7">
        <v>-6.0364691352373767E-2</v>
      </c>
    </row>
    <row r="657" spans="19:21" x14ac:dyDescent="0.25">
      <c r="S657" s="11">
        <v>639</v>
      </c>
      <c r="T657" s="4">
        <v>176.57418960826288</v>
      </c>
      <c r="U657" s="7">
        <v>0.31702983223885206</v>
      </c>
    </row>
    <row r="658" spans="19:21" x14ac:dyDescent="0.25">
      <c r="S658" s="11">
        <v>640</v>
      </c>
      <c r="T658" s="4">
        <v>151.4760960389354</v>
      </c>
      <c r="U658" s="7">
        <v>0.12982841828101299</v>
      </c>
    </row>
    <row r="659" spans="19:21" x14ac:dyDescent="0.25">
      <c r="S659" s="11">
        <v>641</v>
      </c>
      <c r="T659" s="4">
        <v>131.39712396984078</v>
      </c>
      <c r="U659" s="7">
        <v>-1.993642149742092E-2</v>
      </c>
    </row>
    <row r="660" spans="19:21" x14ac:dyDescent="0.25">
      <c r="S660" s="11">
        <v>642</v>
      </c>
      <c r="T660" s="4">
        <v>133.9418140457982</v>
      </c>
      <c r="U660" s="7">
        <v>-9.5611213695678821E-4</v>
      </c>
    </row>
    <row r="661" spans="19:21" x14ac:dyDescent="0.25">
      <c r="S661" s="11">
        <v>643</v>
      </c>
      <c r="T661" s="4">
        <v>177.50449759820549</v>
      </c>
      <c r="U661" s="7">
        <v>0.3239688043425486</v>
      </c>
    </row>
    <row r="662" spans="19:21" x14ac:dyDescent="0.25">
      <c r="S662" s="11">
        <v>644</v>
      </c>
      <c r="T662" s="4">
        <v>170.01136013092182</v>
      </c>
      <c r="U662" s="7">
        <v>0.26807906415247129</v>
      </c>
    </row>
    <row r="663" spans="19:21" x14ac:dyDescent="0.25">
      <c r="S663" s="11">
        <v>645</v>
      </c>
      <c r="T663" s="4">
        <v>141.00715507354062</v>
      </c>
      <c r="U663" s="7">
        <v>5.1742784169020783E-2</v>
      </c>
    </row>
    <row r="664" spans="19:21" x14ac:dyDescent="0.25">
      <c r="S664" s="11">
        <v>646</v>
      </c>
      <c r="T664" s="4">
        <v>157.52638712966498</v>
      </c>
      <c r="U664" s="7">
        <v>0.1749562700802938</v>
      </c>
    </row>
    <row r="665" spans="19:21" x14ac:dyDescent="0.25">
      <c r="S665" s="11">
        <v>647</v>
      </c>
      <c r="T665" s="4">
        <v>118.2230003396143</v>
      </c>
      <c r="U665" s="7">
        <v>-0.11819944551641448</v>
      </c>
    </row>
    <row r="666" spans="19:21" x14ac:dyDescent="0.25">
      <c r="S666" s="11">
        <v>648</v>
      </c>
      <c r="T666" s="4">
        <v>132.81944230159306</v>
      </c>
      <c r="U666" s="7">
        <v>-9.3276474856935909E-3</v>
      </c>
    </row>
    <row r="667" spans="19:21" x14ac:dyDescent="0.25">
      <c r="S667" s="11">
        <v>649</v>
      </c>
      <c r="T667" s="4">
        <v>167.87106090302811</v>
      </c>
      <c r="U667" s="7">
        <v>0.25211502128013819</v>
      </c>
    </row>
    <row r="668" spans="19:21" x14ac:dyDescent="0.25">
      <c r="S668" s="11">
        <v>650</v>
      </c>
      <c r="T668" s="4">
        <v>134.6257502649477</v>
      </c>
      <c r="U668" s="7">
        <v>4.1452246210762489E-3</v>
      </c>
    </row>
    <row r="669" spans="19:21" x14ac:dyDescent="0.25">
      <c r="S669" s="11">
        <v>651</v>
      </c>
      <c r="T669" s="4">
        <v>168.42188785143367</v>
      </c>
      <c r="U669" s="7">
        <v>0.25622352391611591</v>
      </c>
    </row>
    <row r="670" spans="19:21" x14ac:dyDescent="0.25">
      <c r="S670" s="11">
        <v>652</v>
      </c>
      <c r="T670" s="4">
        <v>135.88905889763765</v>
      </c>
      <c r="U670" s="7">
        <v>1.3567978650239843E-2</v>
      </c>
    </row>
    <row r="671" spans="19:21" x14ac:dyDescent="0.25">
      <c r="S671" s="11">
        <v>653</v>
      </c>
      <c r="T671" s="4">
        <v>177.72631505958012</v>
      </c>
      <c r="U671" s="7">
        <v>0.325623294246141</v>
      </c>
    </row>
    <row r="672" spans="19:21" x14ac:dyDescent="0.25">
      <c r="S672" s="11">
        <v>654</v>
      </c>
      <c r="T672" s="4">
        <v>193.35806293513281</v>
      </c>
      <c r="U672" s="7">
        <v>0.44221722186270473</v>
      </c>
    </row>
    <row r="673" spans="19:21" x14ac:dyDescent="0.25">
      <c r="S673" s="11">
        <v>655</v>
      </c>
      <c r="T673" s="4">
        <v>142.00936416922943</v>
      </c>
      <c r="U673" s="7">
        <v>5.9218051534492666E-2</v>
      </c>
    </row>
    <row r="674" spans="19:21" x14ac:dyDescent="0.25">
      <c r="S674" s="11">
        <v>656</v>
      </c>
      <c r="T674" s="4">
        <v>149.27010704636757</v>
      </c>
      <c r="U674" s="7">
        <v>0.11337440923672393</v>
      </c>
    </row>
    <row r="675" spans="19:21" x14ac:dyDescent="0.25">
      <c r="S675" s="11">
        <v>657</v>
      </c>
      <c r="T675" s="4">
        <v>162.09158933320739</v>
      </c>
      <c r="U675" s="7">
        <v>0.20900715546511073</v>
      </c>
    </row>
    <row r="676" spans="19:21" x14ac:dyDescent="0.25">
      <c r="S676" s="11">
        <v>658</v>
      </c>
      <c r="T676" s="4">
        <v>133.673602385127</v>
      </c>
      <c r="U676" s="7">
        <v>-2.9566466388677437E-3</v>
      </c>
    </row>
    <row r="677" spans="19:21" x14ac:dyDescent="0.25">
      <c r="S677" s="11">
        <v>659</v>
      </c>
      <c r="T677" s="4">
        <v>216.78191686473912</v>
      </c>
      <c r="U677" s="7">
        <v>0.61693083362973922</v>
      </c>
    </row>
    <row r="678" spans="19:21" x14ac:dyDescent="0.25">
      <c r="S678" s="11">
        <v>660</v>
      </c>
      <c r="T678" s="4">
        <v>126.39676546321319</v>
      </c>
      <c r="U678" s="7">
        <v>-5.7233046444296276E-2</v>
      </c>
    </row>
    <row r="679" spans="19:21" x14ac:dyDescent="0.25">
      <c r="S679" s="11">
        <v>661</v>
      </c>
      <c r="T679" s="4">
        <v>185.12066761662973</v>
      </c>
      <c r="U679" s="7">
        <v>0.38077621851741439</v>
      </c>
    </row>
    <row r="680" spans="19:21" x14ac:dyDescent="0.25">
      <c r="S680" s="11">
        <v>662</v>
      </c>
      <c r="T680" s="4">
        <v>145.99549659840653</v>
      </c>
      <c r="U680" s="7">
        <v>8.8949776970288275E-2</v>
      </c>
    </row>
    <row r="681" spans="19:21" x14ac:dyDescent="0.25">
      <c r="S681" s="11">
        <v>663</v>
      </c>
      <c r="T681" s="4">
        <v>145.28640015081064</v>
      </c>
      <c r="U681" s="7">
        <v>8.3660775347285998E-2</v>
      </c>
    </row>
    <row r="682" spans="19:21" x14ac:dyDescent="0.25">
      <c r="S682" s="11">
        <v>664</v>
      </c>
      <c r="T682" s="4">
        <v>203.99218135685388</v>
      </c>
      <c r="U682" s="7">
        <v>0.5215348799645998</v>
      </c>
    </row>
    <row r="683" spans="19:21" x14ac:dyDescent="0.25">
      <c r="S683" s="11">
        <v>665</v>
      </c>
      <c r="T683" s="4">
        <v>156.82171457955866</v>
      </c>
      <c r="U683" s="7">
        <v>0.1697002653804629</v>
      </c>
    </row>
    <row r="684" spans="19:21" x14ac:dyDescent="0.25">
      <c r="S684" s="11">
        <v>666</v>
      </c>
      <c r="T684" s="4">
        <v>161.83383430450425</v>
      </c>
      <c r="U684" s="7">
        <v>0.20708461478708329</v>
      </c>
    </row>
    <row r="685" spans="19:21" x14ac:dyDescent="0.25">
      <c r="S685" s="11">
        <v>667</v>
      </c>
      <c r="T685" s="4">
        <v>150.86248502831688</v>
      </c>
      <c r="U685" s="7">
        <v>0.12525162249807487</v>
      </c>
    </row>
    <row r="686" spans="19:21" x14ac:dyDescent="0.25">
      <c r="S686" s="11">
        <v>668</v>
      </c>
      <c r="T686" s="4">
        <v>162.06860891754968</v>
      </c>
      <c r="U686" s="7">
        <v>0.2088357493663735</v>
      </c>
    </row>
    <row r="687" spans="19:21" x14ac:dyDescent="0.25">
      <c r="S687" s="11">
        <v>669</v>
      </c>
      <c r="T687" s="4">
        <v>155.92482884797488</v>
      </c>
      <c r="U687" s="7">
        <v>0.163010582889348</v>
      </c>
    </row>
    <row r="688" spans="19:21" x14ac:dyDescent="0.25">
      <c r="S688" s="11">
        <v>670</v>
      </c>
      <c r="T688" s="4">
        <v>153.49826144362368</v>
      </c>
      <c r="U688" s="7">
        <v>0.14491132575239574</v>
      </c>
    </row>
    <row r="689" spans="19:21" x14ac:dyDescent="0.25">
      <c r="S689" s="11">
        <v>671</v>
      </c>
      <c r="T689" s="4">
        <v>214.28946105656951</v>
      </c>
      <c r="U689" s="7">
        <v>0.59834012871313136</v>
      </c>
    </row>
    <row r="690" spans="19:21" x14ac:dyDescent="0.25">
      <c r="S690" s="11">
        <v>672</v>
      </c>
      <c r="T690" s="4">
        <v>143.49775601870479</v>
      </c>
      <c r="U690" s="7">
        <v>7.0319654051650637E-2</v>
      </c>
    </row>
    <row r="691" spans="19:21" x14ac:dyDescent="0.25">
      <c r="S691" s="11">
        <v>673</v>
      </c>
      <c r="T691" s="4">
        <v>151.27995571090875</v>
      </c>
      <c r="U691" s="7">
        <v>0.12836544872759581</v>
      </c>
    </row>
    <row r="692" spans="19:21" x14ac:dyDescent="0.25">
      <c r="S692" s="11">
        <v>674</v>
      </c>
      <c r="T692" s="4">
        <v>122.03009903118469</v>
      </c>
      <c r="U692" s="7">
        <v>-8.9803095165326363E-2</v>
      </c>
    </row>
    <row r="693" spans="19:21" x14ac:dyDescent="0.25">
      <c r="S693" s="11">
        <v>675</v>
      </c>
      <c r="T693" s="4">
        <v>128.10026567472079</v>
      </c>
      <c r="U693" s="7">
        <v>-4.4526995787866119E-2</v>
      </c>
    </row>
    <row r="694" spans="19:21" x14ac:dyDescent="0.25">
      <c r="S694" s="11">
        <v>676</v>
      </c>
      <c r="T694" s="4">
        <v>145.80767019264817</v>
      </c>
      <c r="U694" s="7">
        <v>8.7548819218678187E-2</v>
      </c>
    </row>
    <row r="695" spans="19:21" x14ac:dyDescent="0.25">
      <c r="S695" s="11">
        <v>677</v>
      </c>
      <c r="T695" s="4">
        <v>118.60845449939605</v>
      </c>
      <c r="U695" s="7">
        <v>-0.11532442381296304</v>
      </c>
    </row>
    <row r="696" spans="19:21" x14ac:dyDescent="0.25">
      <c r="S696" s="11">
        <v>678</v>
      </c>
      <c r="T696" s="4">
        <v>180.23977714142362</v>
      </c>
      <c r="U696" s="7">
        <v>0.34437068055063502</v>
      </c>
    </row>
    <row r="697" spans="19:21" x14ac:dyDescent="0.25">
      <c r="S697" s="11">
        <v>679</v>
      </c>
      <c r="T697" s="4">
        <v>175.83125719707692</v>
      </c>
      <c r="U697" s="7">
        <v>0.31148845526275037</v>
      </c>
    </row>
    <row r="698" spans="19:21" x14ac:dyDescent="0.25">
      <c r="S698" s="11">
        <v>680</v>
      </c>
      <c r="T698" s="4">
        <v>177.1889033430119</v>
      </c>
      <c r="U698" s="7">
        <v>0.32161485300971071</v>
      </c>
    </row>
    <row r="699" spans="19:21" x14ac:dyDescent="0.25">
      <c r="S699" s="11">
        <v>681</v>
      </c>
      <c r="T699" s="4">
        <v>152.38690765144983</v>
      </c>
      <c r="U699" s="7">
        <v>0.13662197099612028</v>
      </c>
    </row>
    <row r="700" spans="19:21" x14ac:dyDescent="0.25">
      <c r="S700" s="11">
        <v>682</v>
      </c>
      <c r="T700" s="4">
        <v>146.99369140599364</v>
      </c>
      <c r="U700" s="7">
        <v>9.6395102603070493E-2</v>
      </c>
    </row>
    <row r="701" spans="19:21" x14ac:dyDescent="0.25">
      <c r="S701" s="11">
        <v>683</v>
      </c>
      <c r="T701" s="4">
        <v>178.68414524408124</v>
      </c>
      <c r="U701" s="7">
        <v>0.33276754862445923</v>
      </c>
    </row>
    <row r="702" spans="19:21" x14ac:dyDescent="0.25">
      <c r="S702" s="11">
        <v>684</v>
      </c>
      <c r="T702" s="4">
        <v>114.99159741852306</v>
      </c>
      <c r="U702" s="7">
        <v>-0.14230180190554886</v>
      </c>
    </row>
    <row r="703" spans="19:21" x14ac:dyDescent="0.25">
      <c r="S703" s="11">
        <v>685</v>
      </c>
      <c r="T703" s="4">
        <v>170.87772423970895</v>
      </c>
      <c r="U703" s="7">
        <v>0.27454109226306378</v>
      </c>
    </row>
    <row r="704" spans="19:21" x14ac:dyDescent="0.25">
      <c r="S704" s="11">
        <v>686</v>
      </c>
      <c r="T704" s="4">
        <v>196.63705503003635</v>
      </c>
      <c r="U704" s="7">
        <v>0.46667453591434604</v>
      </c>
    </row>
    <row r="705" spans="19:21" x14ac:dyDescent="0.25">
      <c r="S705" s="11">
        <v>687</v>
      </c>
      <c r="T705" s="4">
        <v>119.63292252124927</v>
      </c>
      <c r="U705" s="7">
        <v>-0.10768313178750444</v>
      </c>
    </row>
    <row r="706" spans="19:21" x14ac:dyDescent="0.25">
      <c r="S706" s="11">
        <v>688</v>
      </c>
      <c r="T706" s="4">
        <v>135.03383725791795</v>
      </c>
      <c r="U706" s="7">
        <v>7.1890598785557813E-3</v>
      </c>
    </row>
    <row r="707" spans="19:21" x14ac:dyDescent="0.25">
      <c r="S707" s="11">
        <v>689</v>
      </c>
      <c r="T707" s="4">
        <v>152.57060850948781</v>
      </c>
      <c r="U707" s="7">
        <v>0.13799215715288904</v>
      </c>
    </row>
    <row r="708" spans="19:21" x14ac:dyDescent="0.25">
      <c r="S708" s="11">
        <v>690</v>
      </c>
      <c r="T708" s="4">
        <v>155.1339857752032</v>
      </c>
      <c r="U708" s="7">
        <v>0.15711185034089059</v>
      </c>
    </row>
    <row r="709" spans="19:21" x14ac:dyDescent="0.25">
      <c r="S709" s="11">
        <v>691</v>
      </c>
      <c r="T709" s="4">
        <v>199.58869246980939</v>
      </c>
      <c r="U709" s="7">
        <v>0.48869018027753719</v>
      </c>
    </row>
    <row r="710" spans="19:21" x14ac:dyDescent="0.25">
      <c r="S710" s="11">
        <v>692</v>
      </c>
      <c r="T710" s="4">
        <v>164.06252500978573</v>
      </c>
      <c r="U710" s="7">
        <v>0.2237079511433262</v>
      </c>
    </row>
    <row r="711" spans="19:21" x14ac:dyDescent="0.25">
      <c r="S711" s="11">
        <v>693</v>
      </c>
      <c r="T711" s="4">
        <v>122.56743493430672</v>
      </c>
      <c r="U711" s="7">
        <v>-8.5795219405484291E-2</v>
      </c>
    </row>
    <row r="712" spans="19:21" x14ac:dyDescent="0.25">
      <c r="S712" s="11">
        <v>694</v>
      </c>
      <c r="T712" s="4">
        <v>174.11263755472194</v>
      </c>
      <c r="U712" s="7">
        <v>0.29866963194392437</v>
      </c>
    </row>
    <row r="713" spans="19:21" x14ac:dyDescent="0.25">
      <c r="S713" s="11">
        <v>695</v>
      </c>
      <c r="T713" s="4">
        <v>177.51241057766717</v>
      </c>
      <c r="U713" s="7">
        <v>0.32402782559608556</v>
      </c>
    </row>
    <row r="714" spans="19:21" x14ac:dyDescent="0.25">
      <c r="S714" s="11">
        <v>696</v>
      </c>
      <c r="T714" s="4">
        <v>175.38979544462941</v>
      </c>
      <c r="U714" s="7">
        <v>0.30819568467688097</v>
      </c>
    </row>
    <row r="715" spans="19:21" x14ac:dyDescent="0.25">
      <c r="S715" s="11">
        <v>697</v>
      </c>
      <c r="T715" s="4">
        <v>180.15639814481207</v>
      </c>
      <c r="U715" s="7">
        <v>0.34374877410913762</v>
      </c>
    </row>
    <row r="716" spans="19:21" x14ac:dyDescent="0.25">
      <c r="S716" s="11">
        <v>698</v>
      </c>
      <c r="T716" s="4">
        <v>131.10276623681006</v>
      </c>
      <c r="U716" s="7">
        <v>-2.2131974067203242E-2</v>
      </c>
    </row>
    <row r="717" spans="19:21" x14ac:dyDescent="0.25">
      <c r="S717" s="11">
        <v>699</v>
      </c>
      <c r="T717" s="4">
        <v>146.31578627290145</v>
      </c>
      <c r="U717" s="7">
        <v>9.1338750450521866E-2</v>
      </c>
    </row>
    <row r="718" spans="19:21" x14ac:dyDescent="0.25">
      <c r="S718" s="11">
        <v>700</v>
      </c>
      <c r="T718" s="4">
        <v>141.90873645342569</v>
      </c>
      <c r="U718" s="7">
        <v>5.8467490515593967E-2</v>
      </c>
    </row>
    <row r="719" spans="19:21" x14ac:dyDescent="0.25">
      <c r="S719" s="11">
        <v>701</v>
      </c>
      <c r="T719" s="4">
        <v>168.33684930708614</v>
      </c>
      <c r="U719" s="7">
        <v>0.25558923925625532</v>
      </c>
    </row>
    <row r="720" spans="19:21" x14ac:dyDescent="0.25">
      <c r="S720" s="11">
        <v>702</v>
      </c>
      <c r="T720" s="4">
        <v>196.87666865557347</v>
      </c>
      <c r="U720" s="7">
        <v>0.46846176367251036</v>
      </c>
    </row>
    <row r="721" spans="19:21" x14ac:dyDescent="0.25">
      <c r="S721" s="11">
        <v>703</v>
      </c>
      <c r="T721" s="4">
        <v>137.20811280240059</v>
      </c>
      <c r="U721" s="7">
        <v>2.3406524967558795E-2</v>
      </c>
    </row>
    <row r="722" spans="19:21" x14ac:dyDescent="0.25">
      <c r="S722" s="11">
        <v>704</v>
      </c>
      <c r="T722" s="4">
        <v>144.23648612458803</v>
      </c>
      <c r="U722" s="7">
        <v>7.5829686914209216E-2</v>
      </c>
    </row>
    <row r="723" spans="19:21" x14ac:dyDescent="0.25">
      <c r="S723" s="11">
        <v>705</v>
      </c>
      <c r="T723" s="4">
        <v>133.86824759374329</v>
      </c>
      <c r="U723" s="7">
        <v>-1.5048288674327504E-3</v>
      </c>
    </row>
    <row r="724" spans="19:21" x14ac:dyDescent="0.25">
      <c r="S724" s="11">
        <v>706</v>
      </c>
      <c r="T724" s="4">
        <v>172.12522241301247</v>
      </c>
      <c r="U724" s="7">
        <v>0.28384591939294745</v>
      </c>
    </row>
    <row r="725" spans="19:21" x14ac:dyDescent="0.25">
      <c r="S725" s="11">
        <v>707</v>
      </c>
      <c r="T725" s="4">
        <v>146.83415382934933</v>
      </c>
      <c r="U725" s="7">
        <v>9.5205145292379667E-2</v>
      </c>
    </row>
    <row r="726" spans="19:21" x14ac:dyDescent="0.25">
      <c r="S726" s="11">
        <v>708</v>
      </c>
      <c r="T726" s="4">
        <v>191.26537250044714</v>
      </c>
      <c r="U726" s="7">
        <v>0.42660828298983478</v>
      </c>
    </row>
    <row r="727" spans="19:21" x14ac:dyDescent="0.25">
      <c r="S727" s="11">
        <v>709</v>
      </c>
      <c r="T727" s="4">
        <v>140.06780679276005</v>
      </c>
      <c r="U727" s="7">
        <v>4.4736382432759347E-2</v>
      </c>
    </row>
    <row r="728" spans="19:21" x14ac:dyDescent="0.25">
      <c r="S728" s="11">
        <v>710</v>
      </c>
      <c r="T728" s="4">
        <v>153.83929977736832</v>
      </c>
      <c r="U728" s="7">
        <v>0.14745505912857704</v>
      </c>
    </row>
    <row r="729" spans="19:21" x14ac:dyDescent="0.25">
      <c r="S729" s="11">
        <v>711</v>
      </c>
      <c r="T729" s="4">
        <v>192.61604772783471</v>
      </c>
      <c r="U729" s="7">
        <v>0.43668268611795868</v>
      </c>
    </row>
    <row r="730" spans="19:21" x14ac:dyDescent="0.25">
      <c r="S730" s="11">
        <v>712</v>
      </c>
      <c r="T730" s="4">
        <v>172.06650424312042</v>
      </c>
      <c r="U730" s="7">
        <v>0.28340795288372056</v>
      </c>
    </row>
    <row r="731" spans="19:21" x14ac:dyDescent="0.25">
      <c r="S731" s="11">
        <v>713</v>
      </c>
      <c r="T731" s="4">
        <v>175.10249383980391</v>
      </c>
      <c r="U731" s="7">
        <v>0.30605276228689426</v>
      </c>
    </row>
    <row r="732" spans="19:21" x14ac:dyDescent="0.25">
      <c r="S732" s="11">
        <v>714</v>
      </c>
      <c r="T732" s="4">
        <v>169.98810792401142</v>
      </c>
      <c r="U732" s="7">
        <v>0.26790563081980623</v>
      </c>
    </row>
    <row r="733" spans="19:21" x14ac:dyDescent="0.25">
      <c r="S733" s="11">
        <v>715</v>
      </c>
      <c r="T733" s="4">
        <v>144.67665191266755</v>
      </c>
      <c r="U733" s="7">
        <v>7.9112791173771679E-2</v>
      </c>
    </row>
    <row r="734" spans="19:21" x14ac:dyDescent="0.25">
      <c r="S734" s="11">
        <v>716</v>
      </c>
      <c r="T734" s="4">
        <v>142.37071746350645</v>
      </c>
      <c r="U734" s="7">
        <v>6.1913309938885996E-2</v>
      </c>
    </row>
    <row r="735" spans="19:21" x14ac:dyDescent="0.25">
      <c r="S735" s="11">
        <v>717</v>
      </c>
      <c r="T735" s="4">
        <v>156.84798317889667</v>
      </c>
      <c r="U735" s="7">
        <v>0.16989619735135886</v>
      </c>
    </row>
    <row r="736" spans="19:21" x14ac:dyDescent="0.25">
      <c r="S736" s="11">
        <v>718</v>
      </c>
      <c r="T736" s="4">
        <v>166.40353667323498</v>
      </c>
      <c r="U736" s="7">
        <v>0.24116906595983445</v>
      </c>
    </row>
    <row r="737" spans="19:21" x14ac:dyDescent="0.25">
      <c r="S737" s="11">
        <v>719</v>
      </c>
      <c r="T737" s="4">
        <v>171.80884061153881</v>
      </c>
      <c r="U737" s="7">
        <v>0.28148609391764623</v>
      </c>
    </row>
    <row r="738" spans="19:21" x14ac:dyDescent="0.25">
      <c r="S738" s="11">
        <v>720</v>
      </c>
      <c r="T738" s="4">
        <v>146.94235601355078</v>
      </c>
      <c r="U738" s="7">
        <v>9.6012202681813763E-2</v>
      </c>
    </row>
    <row r="739" spans="19:21" x14ac:dyDescent="0.25">
      <c r="S739" s="11">
        <v>721</v>
      </c>
      <c r="T739" s="4">
        <v>124.46794695871574</v>
      </c>
      <c r="U739" s="7">
        <v>-7.1619698972807178E-2</v>
      </c>
    </row>
    <row r="740" spans="19:21" x14ac:dyDescent="0.25">
      <c r="S740" s="11">
        <v>722</v>
      </c>
      <c r="T740" s="4">
        <v>168.75799467786942</v>
      </c>
      <c r="U740" s="7">
        <v>0.25873047421398843</v>
      </c>
    </row>
    <row r="741" spans="19:21" x14ac:dyDescent="0.25">
      <c r="S741" s="11">
        <v>723</v>
      </c>
      <c r="T741" s="4">
        <v>131.16459409770837</v>
      </c>
      <c r="U741" s="7">
        <v>-2.1670813025222779E-2</v>
      </c>
    </row>
    <row r="742" spans="19:21" x14ac:dyDescent="0.25">
      <c r="S742" s="11">
        <v>724</v>
      </c>
      <c r="T742" s="4">
        <v>179.37007137533416</v>
      </c>
      <c r="U742" s="7">
        <v>0.33788372771935693</v>
      </c>
    </row>
    <row r="743" spans="19:21" x14ac:dyDescent="0.25">
      <c r="S743" s="11">
        <v>725</v>
      </c>
      <c r="T743" s="4">
        <v>162.28272180245867</v>
      </c>
      <c r="U743" s="7">
        <v>0.21043277245065029</v>
      </c>
    </row>
    <row r="744" spans="19:21" x14ac:dyDescent="0.25">
      <c r="S744" s="11">
        <v>726</v>
      </c>
      <c r="T744" s="4">
        <v>155.03873175152785</v>
      </c>
      <c r="U744" s="7">
        <v>0.15640137056409231</v>
      </c>
    </row>
    <row r="745" spans="19:21" x14ac:dyDescent="0.25">
      <c r="S745" s="11">
        <v>727</v>
      </c>
      <c r="T745" s="4">
        <v>164.56424914055614</v>
      </c>
      <c r="U745" s="7">
        <v>0.22745020616510891</v>
      </c>
    </row>
    <row r="746" spans="19:21" x14ac:dyDescent="0.25">
      <c r="S746" s="11">
        <v>728</v>
      </c>
      <c r="T746" s="4">
        <v>177.44777759580961</v>
      </c>
      <c r="U746" s="7">
        <v>0.32354574174542861</v>
      </c>
    </row>
    <row r="747" spans="19:21" x14ac:dyDescent="0.25">
      <c r="S747" s="11">
        <v>729</v>
      </c>
      <c r="T747" s="4">
        <v>117.26908802539094</v>
      </c>
      <c r="U747" s="7">
        <v>-0.12531447732236178</v>
      </c>
    </row>
    <row r="748" spans="19:21" x14ac:dyDescent="0.25">
      <c r="S748" s="11">
        <v>730</v>
      </c>
      <c r="T748" s="4">
        <v>176.81400955197194</v>
      </c>
      <c r="U748" s="7">
        <v>0.31881859888097219</v>
      </c>
    </row>
    <row r="749" spans="19:21" x14ac:dyDescent="0.25">
      <c r="S749" s="11">
        <v>731</v>
      </c>
      <c r="T749" s="4">
        <v>160.56313612892109</v>
      </c>
      <c r="U749" s="7">
        <v>0.19760674370792186</v>
      </c>
    </row>
    <row r="750" spans="19:21" x14ac:dyDescent="0.25">
      <c r="S750" s="11">
        <v>732</v>
      </c>
      <c r="T750" s="4">
        <v>181.22891235199853</v>
      </c>
      <c r="U750" s="7">
        <v>0.35174843255014943</v>
      </c>
    </row>
    <row r="751" spans="19:21" x14ac:dyDescent="0.25">
      <c r="S751" s="11">
        <v>733</v>
      </c>
      <c r="T751" s="4">
        <v>165.15124970996166</v>
      </c>
      <c r="U751" s="7">
        <v>0.23182852025032941</v>
      </c>
    </row>
    <row r="752" spans="19:21" x14ac:dyDescent="0.25">
      <c r="S752" s="11">
        <v>734</v>
      </c>
      <c r="T752" s="4">
        <v>190.18065130266979</v>
      </c>
      <c r="U752" s="7">
        <v>0.41851757516722454</v>
      </c>
    </row>
    <row r="753" spans="19:21" x14ac:dyDescent="0.25">
      <c r="S753" s="11">
        <v>735</v>
      </c>
      <c r="T753" s="4">
        <v>152.53317248638226</v>
      </c>
      <c r="U753" s="7">
        <v>0.13771292971121252</v>
      </c>
    </row>
    <row r="754" spans="19:21" x14ac:dyDescent="0.25">
      <c r="S754" s="11">
        <v>736</v>
      </c>
      <c r="T754" s="4">
        <v>163.17232289041189</v>
      </c>
      <c r="U754" s="7">
        <v>0.21706812031335798</v>
      </c>
    </row>
    <row r="755" spans="19:21" x14ac:dyDescent="0.25">
      <c r="S755" s="11">
        <v>737</v>
      </c>
      <c r="T755" s="4">
        <v>162.70925079117092</v>
      </c>
      <c r="U755" s="7">
        <v>0.21361416268494771</v>
      </c>
    </row>
    <row r="756" spans="19:21" x14ac:dyDescent="0.25">
      <c r="S756" s="11">
        <v>738</v>
      </c>
      <c r="T756" s="4">
        <v>138.05168077674696</v>
      </c>
      <c r="U756" s="7">
        <v>2.9698521494345931E-2</v>
      </c>
    </row>
    <row r="757" spans="19:21" x14ac:dyDescent="0.25">
      <c r="S757" s="11">
        <v>739</v>
      </c>
      <c r="T757" s="4">
        <v>146.12101639965945</v>
      </c>
      <c r="U757" s="7">
        <v>8.988600283180026E-2</v>
      </c>
    </row>
    <row r="758" spans="19:21" x14ac:dyDescent="0.25">
      <c r="S758" s="11">
        <v>740</v>
      </c>
      <c r="T758" s="4">
        <v>134.34103908487509</v>
      </c>
      <c r="U758" s="7">
        <v>2.0216236658097131E-3</v>
      </c>
    </row>
    <row r="759" spans="19:21" x14ac:dyDescent="0.25">
      <c r="S759" s="11">
        <v>741</v>
      </c>
      <c r="T759" s="4">
        <v>131.57085499350478</v>
      </c>
      <c r="U759" s="7">
        <v>-1.8640598243419237E-2</v>
      </c>
    </row>
    <row r="760" spans="19:21" x14ac:dyDescent="0.25">
      <c r="S760" s="11">
        <v>742</v>
      </c>
      <c r="T760" s="4">
        <v>180.89463412314032</v>
      </c>
      <c r="U760" s="7">
        <v>0.34925512137793935</v>
      </c>
    </row>
    <row r="761" spans="19:21" x14ac:dyDescent="0.25">
      <c r="S761" s="11">
        <v>743</v>
      </c>
      <c r="T761" s="4">
        <v>150.87746654611135</v>
      </c>
      <c r="U761" s="7">
        <v>0.12536336649594504</v>
      </c>
    </row>
    <row r="762" spans="19:21" x14ac:dyDescent="0.25">
      <c r="S762" s="11">
        <v>744</v>
      </c>
      <c r="T762" s="4">
        <v>148.860346576219</v>
      </c>
      <c r="U762" s="7">
        <v>0.11031809186409336</v>
      </c>
    </row>
    <row r="763" spans="19:21" x14ac:dyDescent="0.25">
      <c r="S763" s="11">
        <v>745</v>
      </c>
      <c r="T763" s="4">
        <v>156.61053162755508</v>
      </c>
      <c r="U763" s="7">
        <v>0.16812509605098147</v>
      </c>
    </row>
    <row r="764" spans="19:21" x14ac:dyDescent="0.25">
      <c r="S764" s="11">
        <v>746</v>
      </c>
      <c r="T764" s="4">
        <v>166.89083851969423</v>
      </c>
      <c r="U764" s="7">
        <v>0.24480374818896267</v>
      </c>
    </row>
    <row r="765" spans="19:21" x14ac:dyDescent="0.25">
      <c r="S765" s="11">
        <v>747</v>
      </c>
      <c r="T765" s="4">
        <v>141.41730767368449</v>
      </c>
      <c r="U765" s="7">
        <v>5.4802026357011258E-2</v>
      </c>
    </row>
    <row r="766" spans="19:21" x14ac:dyDescent="0.25">
      <c r="S766" s="11">
        <v>748</v>
      </c>
      <c r="T766" s="4">
        <v>135.55326863567583</v>
      </c>
      <c r="U766" s="7">
        <v>1.1063389540358237E-2</v>
      </c>
    </row>
    <row r="767" spans="19:21" x14ac:dyDescent="0.25">
      <c r="S767" s="11">
        <v>749</v>
      </c>
      <c r="T767" s="4">
        <v>157.03066458539519</v>
      </c>
      <c r="U767" s="7">
        <v>0.17125877963299163</v>
      </c>
    </row>
    <row r="768" spans="19:21" x14ac:dyDescent="0.25">
      <c r="S768" s="11">
        <v>750</v>
      </c>
      <c r="T768" s="4">
        <v>200.26553833353572</v>
      </c>
      <c r="U768" s="7">
        <v>0.49373863156213704</v>
      </c>
    </row>
    <row r="769" spans="19:21" x14ac:dyDescent="0.25">
      <c r="S769" s="11">
        <v>751</v>
      </c>
      <c r="T769" s="4">
        <v>164.27755914897514</v>
      </c>
      <c r="U769" s="7">
        <v>0.22531184566998697</v>
      </c>
    </row>
    <row r="770" spans="19:21" x14ac:dyDescent="0.25">
      <c r="S770" s="11">
        <v>752</v>
      </c>
      <c r="T770" s="4">
        <v>190.32013258540911</v>
      </c>
      <c r="U770" s="7">
        <v>0.4195579367898048</v>
      </c>
    </row>
    <row r="771" spans="19:21" x14ac:dyDescent="0.25">
      <c r="S771" s="11">
        <v>753</v>
      </c>
      <c r="T771" s="4">
        <v>176.64580734250043</v>
      </c>
      <c r="U771" s="7">
        <v>0.31756401389199995</v>
      </c>
    </row>
    <row r="772" spans="19:21" x14ac:dyDescent="0.25">
      <c r="S772" s="11">
        <v>754</v>
      </c>
      <c r="T772" s="4">
        <v>191.67388910945837</v>
      </c>
      <c r="U772" s="7">
        <v>0.42965532266322359</v>
      </c>
    </row>
    <row r="773" spans="19:21" x14ac:dyDescent="0.25">
      <c r="S773" s="11">
        <v>755</v>
      </c>
      <c r="T773" s="4">
        <v>143.52849802967674</v>
      </c>
      <c r="U773" s="7">
        <v>7.0548952261331843E-2</v>
      </c>
    </row>
    <row r="774" spans="19:21" x14ac:dyDescent="0.25">
      <c r="S774" s="11">
        <v>756</v>
      </c>
      <c r="T774" s="4">
        <v>131.87403460376265</v>
      </c>
      <c r="U774" s="7">
        <v>-1.6379245142368437E-2</v>
      </c>
    </row>
    <row r="775" spans="19:21" x14ac:dyDescent="0.25">
      <c r="S775" s="11">
        <v>757</v>
      </c>
      <c r="T775" s="4">
        <v>189.95970052066249</v>
      </c>
      <c r="U775" s="7">
        <v>0.41686954964319023</v>
      </c>
    </row>
    <row r="776" spans="19:21" x14ac:dyDescent="0.25">
      <c r="S776" s="11">
        <v>758</v>
      </c>
      <c r="T776" s="4">
        <v>141.90436919315323</v>
      </c>
      <c r="U776" s="7">
        <v>5.8434916037541917E-2</v>
      </c>
    </row>
    <row r="777" spans="19:21" x14ac:dyDescent="0.25">
      <c r="S777" s="11">
        <v>759</v>
      </c>
      <c r="T777" s="4">
        <v>137.75750887250828</v>
      </c>
      <c r="U777" s="7">
        <v>2.7504354982533563E-2</v>
      </c>
    </row>
    <row r="778" spans="19:21" x14ac:dyDescent="0.25">
      <c r="S778" s="11">
        <v>760</v>
      </c>
      <c r="T778" s="4">
        <v>148.01495357187187</v>
      </c>
      <c r="U778" s="7">
        <v>0.10401248282145059</v>
      </c>
    </row>
    <row r="779" spans="19:21" x14ac:dyDescent="0.25">
      <c r="S779" s="11">
        <v>761</v>
      </c>
      <c r="T779" s="4">
        <v>156.83364018451789</v>
      </c>
      <c r="U779" s="7">
        <v>0.16978921596567398</v>
      </c>
    </row>
    <row r="780" spans="19:21" x14ac:dyDescent="0.25">
      <c r="S780" s="11">
        <v>762</v>
      </c>
      <c r="T780" s="4">
        <v>178.7383847715243</v>
      </c>
      <c r="U780" s="7">
        <v>0.33317210987934898</v>
      </c>
    </row>
    <row r="781" spans="19:21" x14ac:dyDescent="0.25">
      <c r="S781" s="11">
        <v>763</v>
      </c>
      <c r="T781" s="4">
        <v>103.72615959340892</v>
      </c>
      <c r="U781" s="7">
        <v>-0.22632833897658744</v>
      </c>
    </row>
    <row r="782" spans="19:21" x14ac:dyDescent="0.25">
      <c r="S782" s="11">
        <v>764</v>
      </c>
      <c r="T782" s="4">
        <v>176.44332294931323</v>
      </c>
      <c r="U782" s="7">
        <v>0.31605372528763498</v>
      </c>
    </row>
    <row r="783" spans="19:21" x14ac:dyDescent="0.25">
      <c r="S783" s="11">
        <v>765</v>
      </c>
      <c r="T783" s="4">
        <v>155.82395098865015</v>
      </c>
      <c r="U783" s="7">
        <v>0.16225815610241034</v>
      </c>
    </row>
    <row r="784" spans="19:21" x14ac:dyDescent="0.25">
      <c r="S784" s="11">
        <v>766</v>
      </c>
      <c r="T784" s="4">
        <v>165.74735214160421</v>
      </c>
      <c r="U784" s="7">
        <v>0.23627472321626186</v>
      </c>
    </row>
    <row r="785" spans="19:21" x14ac:dyDescent="0.25">
      <c r="S785" s="11">
        <v>767</v>
      </c>
      <c r="T785" s="4">
        <v>123.78048533263345</v>
      </c>
      <c r="U785" s="7">
        <v>-7.6747331001466024E-2</v>
      </c>
    </row>
    <row r="786" spans="19:21" x14ac:dyDescent="0.25">
      <c r="S786" s="11">
        <v>768</v>
      </c>
      <c r="T786" s="4">
        <v>146.42903485560308</v>
      </c>
      <c r="U786" s="7">
        <v>9.2183447867554946E-2</v>
      </c>
    </row>
    <row r="787" spans="19:21" x14ac:dyDescent="0.25">
      <c r="S787" s="11">
        <v>769</v>
      </c>
      <c r="T787" s="4">
        <v>189.35238499845079</v>
      </c>
      <c r="U787" s="7">
        <v>0.41233971058738561</v>
      </c>
    </row>
    <row r="788" spans="19:21" x14ac:dyDescent="0.25">
      <c r="S788" s="11">
        <v>770</v>
      </c>
      <c r="T788" s="4">
        <v>157.64015611491232</v>
      </c>
      <c r="U788" s="7">
        <v>0.17580484907072669</v>
      </c>
    </row>
    <row r="789" spans="19:21" x14ac:dyDescent="0.25">
      <c r="S789" s="11">
        <v>771</v>
      </c>
      <c r="T789" s="4">
        <v>179.38315292525425</v>
      </c>
      <c r="U789" s="7">
        <v>0.33798130025549544</v>
      </c>
    </row>
    <row r="790" spans="19:21" x14ac:dyDescent="0.25">
      <c r="S790" s="11">
        <v>772</v>
      </c>
      <c r="T790" s="4">
        <v>196.43950600763227</v>
      </c>
      <c r="U790" s="7">
        <v>0.46520105920513388</v>
      </c>
    </row>
    <row r="791" spans="19:21" x14ac:dyDescent="0.25">
      <c r="S791" s="11">
        <v>773</v>
      </c>
      <c r="T791" s="4">
        <v>120.96738106126961</v>
      </c>
      <c r="U791" s="7">
        <v>-9.7729685527936039E-2</v>
      </c>
    </row>
    <row r="792" spans="19:21" x14ac:dyDescent="0.25">
      <c r="S792" s="11">
        <v>774</v>
      </c>
      <c r="T792" s="4">
        <v>154.13343768024444</v>
      </c>
      <c r="U792" s="7">
        <v>0.14964897203136007</v>
      </c>
    </row>
    <row r="793" spans="19:21" x14ac:dyDescent="0.25">
      <c r="S793" s="11">
        <v>775</v>
      </c>
      <c r="T793" s="4">
        <v>175.26349224447816</v>
      </c>
      <c r="U793" s="7">
        <v>0.30725361560735553</v>
      </c>
    </row>
    <row r="794" spans="19:21" x14ac:dyDescent="0.25">
      <c r="S794" s="11">
        <v>776</v>
      </c>
      <c r="T794" s="4">
        <v>135.13215662713401</v>
      </c>
      <c r="U794" s="7">
        <v>7.92240342458439E-3</v>
      </c>
    </row>
    <row r="795" spans="19:21" x14ac:dyDescent="0.25">
      <c r="S795" s="11">
        <v>777</v>
      </c>
      <c r="T795" s="4">
        <v>168.91612038403386</v>
      </c>
      <c r="U795" s="7">
        <v>0.25990990067900244</v>
      </c>
    </row>
    <row r="796" spans="19:21" x14ac:dyDescent="0.25">
      <c r="S796" s="11">
        <v>778</v>
      </c>
      <c r="T796" s="4">
        <v>162.45301432802603</v>
      </c>
      <c r="U796" s="7">
        <v>0.21170294866880024</v>
      </c>
    </row>
    <row r="797" spans="19:21" x14ac:dyDescent="0.25">
      <c r="S797" s="11">
        <v>779</v>
      </c>
      <c r="T797" s="4">
        <v>167.60916265943459</v>
      </c>
      <c r="U797" s="7">
        <v>0.25016157723155508</v>
      </c>
    </row>
    <row r="798" spans="19:21" x14ac:dyDescent="0.25">
      <c r="S798" s="11">
        <v>780</v>
      </c>
      <c r="T798" s="4">
        <v>144.44784825113422</v>
      </c>
      <c r="U798" s="7">
        <v>7.7406192669010387E-2</v>
      </c>
    </row>
    <row r="799" spans="19:21" x14ac:dyDescent="0.25">
      <c r="S799" s="11">
        <v>781</v>
      </c>
      <c r="T799" s="4">
        <v>169.57448059597323</v>
      </c>
      <c r="U799" s="7">
        <v>0.26482047136550491</v>
      </c>
    </row>
    <row r="800" spans="19:21" x14ac:dyDescent="0.25">
      <c r="S800" s="11">
        <v>782</v>
      </c>
      <c r="T800" s="4">
        <v>148.47878187384507</v>
      </c>
      <c r="U800" s="7">
        <v>0.10747208080737725</v>
      </c>
    </row>
    <row r="801" spans="19:21" x14ac:dyDescent="0.25">
      <c r="S801" s="11">
        <v>783</v>
      </c>
      <c r="T801" s="4">
        <v>165.92463312117795</v>
      </c>
      <c r="U801" s="7">
        <v>0.23759702484655754</v>
      </c>
    </row>
    <row r="802" spans="19:21" x14ac:dyDescent="0.25">
      <c r="S802" s="11">
        <v>784</v>
      </c>
      <c r="T802" s="4">
        <v>190.28666489199682</v>
      </c>
      <c r="U802" s="7">
        <v>0.41930830828669219</v>
      </c>
    </row>
    <row r="803" spans="19:21" x14ac:dyDescent="0.25">
      <c r="S803" s="11">
        <v>785</v>
      </c>
      <c r="T803" s="4">
        <v>148.04176308664</v>
      </c>
      <c r="U803" s="7">
        <v>0.1042124493670471</v>
      </c>
    </row>
    <row r="804" spans="19:21" x14ac:dyDescent="0.25">
      <c r="S804" s="11">
        <v>786</v>
      </c>
      <c r="T804" s="4">
        <v>153.69298317143858</v>
      </c>
      <c r="U804" s="7">
        <v>0.14636371426447825</v>
      </c>
    </row>
    <row r="805" spans="19:21" x14ac:dyDescent="0.25">
      <c r="S805" s="11">
        <v>787</v>
      </c>
      <c r="T805" s="4">
        <v>146.32002897477335</v>
      </c>
      <c r="U805" s="7">
        <v>9.137039587359852E-2</v>
      </c>
    </row>
    <row r="806" spans="19:21" x14ac:dyDescent="0.25">
      <c r="S806" s="11">
        <v>788</v>
      </c>
      <c r="T806" s="4">
        <v>127.62868252264556</v>
      </c>
      <c r="U806" s="7">
        <v>-4.8044435573614042E-2</v>
      </c>
    </row>
    <row r="807" spans="19:21" x14ac:dyDescent="0.25">
      <c r="S807" s="11">
        <v>789</v>
      </c>
      <c r="T807" s="4">
        <v>184.01379098267071</v>
      </c>
      <c r="U807" s="7">
        <v>0.37252025794488497</v>
      </c>
    </row>
    <row r="808" spans="19:21" x14ac:dyDescent="0.25">
      <c r="S808" s="11">
        <v>790</v>
      </c>
      <c r="T808" s="4">
        <v>180.53736808544372</v>
      </c>
      <c r="U808" s="7">
        <v>0.34659034896280838</v>
      </c>
    </row>
    <row r="809" spans="19:21" x14ac:dyDescent="0.25">
      <c r="S809" s="11">
        <v>791</v>
      </c>
      <c r="T809" s="4">
        <v>214.47822607851532</v>
      </c>
      <c r="U809" s="7">
        <v>0.59974808740594709</v>
      </c>
    </row>
    <row r="810" spans="19:21" x14ac:dyDescent="0.25">
      <c r="S810" s="11">
        <v>792</v>
      </c>
      <c r="T810" s="4">
        <v>216.67887623355728</v>
      </c>
      <c r="U810" s="7">
        <v>0.61616227518130295</v>
      </c>
    </row>
    <row r="811" spans="19:21" x14ac:dyDescent="0.25">
      <c r="S811" s="11">
        <v>793</v>
      </c>
      <c r="T811" s="4">
        <v>173.77902781628919</v>
      </c>
      <c r="U811" s="7">
        <v>0.29618130690153799</v>
      </c>
    </row>
    <row r="812" spans="19:21" x14ac:dyDescent="0.25">
      <c r="S812" s="11">
        <v>794</v>
      </c>
      <c r="T812" s="4">
        <v>154.34135386724725</v>
      </c>
      <c r="U812" s="7">
        <v>0.15119977524611961</v>
      </c>
    </row>
    <row r="813" spans="19:21" x14ac:dyDescent="0.25">
      <c r="S813" s="11">
        <v>795</v>
      </c>
      <c r="T813" s="4">
        <v>152.50137883957154</v>
      </c>
      <c r="U813" s="7">
        <v>0.13747578757045975</v>
      </c>
    </row>
    <row r="814" spans="19:21" x14ac:dyDescent="0.25">
      <c r="S814" s="11">
        <v>796</v>
      </c>
      <c r="T814" s="4">
        <v>127.74962948830068</v>
      </c>
      <c r="U814" s="7">
        <v>-4.7142317533372946E-2</v>
      </c>
    </row>
    <row r="815" spans="19:21" x14ac:dyDescent="0.25">
      <c r="S815" s="11">
        <v>797</v>
      </c>
      <c r="T815" s="4">
        <v>139.17686136508004</v>
      </c>
      <c r="U815" s="7">
        <v>3.8091007422093259E-2</v>
      </c>
    </row>
    <row r="816" spans="19:21" x14ac:dyDescent="0.25">
      <c r="S816" s="11">
        <v>798</v>
      </c>
      <c r="T816" s="4">
        <v>161.93076933375559</v>
      </c>
      <c r="U816" s="7">
        <v>0.2078076328317715</v>
      </c>
    </row>
    <row r="817" spans="19:21" x14ac:dyDescent="0.25">
      <c r="S817" s="11">
        <v>799</v>
      </c>
      <c r="T817" s="4">
        <v>186.2837942211915</v>
      </c>
      <c r="U817" s="7">
        <v>0.38945173581853898</v>
      </c>
    </row>
    <row r="818" spans="19:21" x14ac:dyDescent="0.25">
      <c r="S818" s="11">
        <v>800</v>
      </c>
      <c r="T818" s="4">
        <v>181.19912544274922</v>
      </c>
      <c r="U818" s="7">
        <v>0.35152625824382211</v>
      </c>
    </row>
    <row r="819" spans="19:21" x14ac:dyDescent="0.25">
      <c r="S819" s="11">
        <v>801</v>
      </c>
      <c r="T819" s="4">
        <v>153.30399127062972</v>
      </c>
      <c r="U819" s="7">
        <v>0.14346230529297932</v>
      </c>
    </row>
    <row r="820" spans="19:21" x14ac:dyDescent="0.25">
      <c r="S820" s="11">
        <v>802</v>
      </c>
      <c r="T820" s="4">
        <v>126.87781085792216</v>
      </c>
      <c r="U820" s="7">
        <v>-5.3645029776070996E-2</v>
      </c>
    </row>
    <row r="821" spans="19:21" x14ac:dyDescent="0.25">
      <c r="S821" s="11">
        <v>803</v>
      </c>
      <c r="T821" s="4">
        <v>177.66986921775182</v>
      </c>
      <c r="U821" s="7">
        <v>0.32520227655517142</v>
      </c>
    </row>
    <row r="822" spans="19:21" x14ac:dyDescent="0.25">
      <c r="S822" s="11">
        <v>804</v>
      </c>
      <c r="T822" s="4">
        <v>136.08830907650753</v>
      </c>
      <c r="U822" s="7">
        <v>1.5054143928600938E-2</v>
      </c>
    </row>
    <row r="823" spans="19:21" x14ac:dyDescent="0.25">
      <c r="S823" s="11">
        <v>805</v>
      </c>
      <c r="T823" s="4">
        <v>180.76136986593812</v>
      </c>
      <c r="U823" s="7">
        <v>0.3482611312444106</v>
      </c>
    </row>
    <row r="824" spans="19:21" x14ac:dyDescent="0.25">
      <c r="S824" s="11">
        <v>806</v>
      </c>
      <c r="T824" s="4">
        <v>132.285519734242</v>
      </c>
      <c r="U824" s="7">
        <v>-1.3310063890191626E-2</v>
      </c>
    </row>
    <row r="825" spans="19:21" x14ac:dyDescent="0.25">
      <c r="S825" s="11">
        <v>807</v>
      </c>
      <c r="T825" s="4">
        <v>152.4809741728119</v>
      </c>
      <c r="U825" s="7">
        <v>0.13732359344232048</v>
      </c>
    </row>
    <row r="826" spans="19:21" x14ac:dyDescent="0.25">
      <c r="S826" s="11">
        <v>808</v>
      </c>
      <c r="T826" s="4">
        <v>198.74374690874652</v>
      </c>
      <c r="U826" s="7">
        <v>0.48238790862047076</v>
      </c>
    </row>
    <row r="827" spans="19:21" x14ac:dyDescent="0.25">
      <c r="S827" s="11">
        <v>809</v>
      </c>
      <c r="T827" s="4">
        <v>155.25328388596526</v>
      </c>
      <c r="U827" s="7">
        <v>0.15800166991844011</v>
      </c>
    </row>
    <row r="828" spans="19:21" x14ac:dyDescent="0.25">
      <c r="S828" s="11">
        <v>810</v>
      </c>
      <c r="T828" s="4">
        <v>202.20104670515667</v>
      </c>
      <c r="U828" s="7">
        <v>0.50817518240588266</v>
      </c>
    </row>
    <row r="829" spans="19:21" x14ac:dyDescent="0.25">
      <c r="S829" s="11">
        <v>811</v>
      </c>
      <c r="T829" s="4">
        <v>153.35678667247524</v>
      </c>
      <c r="U829" s="7">
        <v>0.14385609511803721</v>
      </c>
    </row>
    <row r="830" spans="19:21" x14ac:dyDescent="0.25">
      <c r="S830" s="11">
        <v>812</v>
      </c>
      <c r="T830" s="4">
        <v>117.14038386566591</v>
      </c>
      <c r="U830" s="7">
        <v>-0.12627445464558873</v>
      </c>
    </row>
    <row r="831" spans="19:21" x14ac:dyDescent="0.25">
      <c r="S831" s="11">
        <v>813</v>
      </c>
      <c r="T831" s="4">
        <v>160.78551813381739</v>
      </c>
      <c r="U831" s="7">
        <v>0.19926544442319227</v>
      </c>
    </row>
    <row r="832" spans="19:21" x14ac:dyDescent="0.25">
      <c r="S832" s="11">
        <v>814</v>
      </c>
      <c r="T832" s="4">
        <v>152.27044329932036</v>
      </c>
      <c r="U832" s="7">
        <v>0.13575328782964391</v>
      </c>
    </row>
    <row r="833" spans="19:21" x14ac:dyDescent="0.25">
      <c r="S833" s="11">
        <v>815</v>
      </c>
      <c r="T833" s="4">
        <v>144.25520041768272</v>
      </c>
      <c r="U833" s="7">
        <v>7.5969272899848672E-2</v>
      </c>
    </row>
    <row r="834" spans="19:21" x14ac:dyDescent="0.25">
      <c r="S834" s="11">
        <v>816</v>
      </c>
      <c r="T834" s="4">
        <v>183.53681802868431</v>
      </c>
      <c r="U834" s="7">
        <v>0.36896261675754705</v>
      </c>
    </row>
    <row r="835" spans="19:21" x14ac:dyDescent="0.25">
      <c r="S835" s="11">
        <v>817</v>
      </c>
      <c r="T835" s="4">
        <v>139.09920205921497</v>
      </c>
      <c r="U835" s="7">
        <v>3.751176295379266E-2</v>
      </c>
    </row>
    <row r="836" spans="19:21" x14ac:dyDescent="0.25">
      <c r="S836" s="11">
        <v>818</v>
      </c>
      <c r="T836" s="4">
        <v>173.91013718513668</v>
      </c>
      <c r="U836" s="7">
        <v>0.29715922417495855</v>
      </c>
    </row>
    <row r="837" spans="19:21" x14ac:dyDescent="0.25">
      <c r="S837" s="11">
        <v>819</v>
      </c>
      <c r="T837" s="4">
        <v>132.6975112466811</v>
      </c>
      <c r="U837" s="7">
        <v>-1.0237105641223931E-2</v>
      </c>
    </row>
    <row r="838" spans="19:21" x14ac:dyDescent="0.25">
      <c r="S838" s="11">
        <v>820</v>
      </c>
      <c r="T838" s="4">
        <v>158.87530653954917</v>
      </c>
      <c r="U838" s="7">
        <v>0.18501757693405807</v>
      </c>
    </row>
    <row r="839" spans="19:21" x14ac:dyDescent="0.25">
      <c r="S839" s="11">
        <v>821</v>
      </c>
      <c r="T839" s="4">
        <v>135.36447560760504</v>
      </c>
      <c r="U839" s="7">
        <v>9.6552219557324293E-3</v>
      </c>
    </row>
    <row r="840" spans="19:21" x14ac:dyDescent="0.25">
      <c r="S840" s="11">
        <v>822</v>
      </c>
      <c r="T840" s="4">
        <v>195.57175656896166</v>
      </c>
      <c r="U840" s="7">
        <v>0.45872869820960438</v>
      </c>
    </row>
    <row r="841" spans="19:21" x14ac:dyDescent="0.25">
      <c r="S841" s="11">
        <v>823</v>
      </c>
      <c r="T841" s="4">
        <v>173.24140501069041</v>
      </c>
      <c r="U841" s="7">
        <v>0.29217129119631857</v>
      </c>
    </row>
    <row r="842" spans="19:21" x14ac:dyDescent="0.25">
      <c r="S842" s="11">
        <v>824</v>
      </c>
      <c r="T842" s="4">
        <v>136.43724204917655</v>
      </c>
      <c r="U842" s="7">
        <v>1.765676176009956E-2</v>
      </c>
    </row>
    <row r="843" spans="19:21" x14ac:dyDescent="0.25">
      <c r="S843" s="11">
        <v>825</v>
      </c>
      <c r="T843" s="4">
        <v>128.48496368195345</v>
      </c>
      <c r="U843" s="7">
        <v>-4.165761406762547E-2</v>
      </c>
    </row>
    <row r="844" spans="19:21" x14ac:dyDescent="0.25">
      <c r="S844" s="11">
        <v>826</v>
      </c>
      <c r="T844" s="4">
        <v>182.28932230919378</v>
      </c>
      <c r="U844" s="7">
        <v>0.35965780793013935</v>
      </c>
    </row>
    <row r="845" spans="19:21" x14ac:dyDescent="0.25">
      <c r="S845" s="11">
        <v>827</v>
      </c>
      <c r="T845" s="4">
        <v>158.52785525950105</v>
      </c>
      <c r="U845" s="7">
        <v>0.18242601073693643</v>
      </c>
    </row>
    <row r="846" spans="19:21" x14ac:dyDescent="0.25">
      <c r="S846" s="11">
        <v>828</v>
      </c>
      <c r="T846" s="4">
        <v>138.16990239054599</v>
      </c>
      <c r="U846" s="7">
        <v>3.0580311706914332E-2</v>
      </c>
    </row>
    <row r="847" spans="19:21" x14ac:dyDescent="0.25">
      <c r="S847" s="11">
        <v>829</v>
      </c>
      <c r="T847" s="4">
        <v>136.032343192909</v>
      </c>
      <c r="U847" s="7">
        <v>1.4636706145364275E-2</v>
      </c>
    </row>
    <row r="848" spans="19:21" x14ac:dyDescent="0.25">
      <c r="S848" s="11">
        <v>830</v>
      </c>
      <c r="T848" s="4">
        <v>117.30361541486205</v>
      </c>
      <c r="U848" s="7">
        <v>-0.12505694476868756</v>
      </c>
    </row>
    <row r="849" spans="19:21" x14ac:dyDescent="0.25">
      <c r="S849" s="11">
        <v>831</v>
      </c>
      <c r="T849" s="4">
        <v>212.34612471198622</v>
      </c>
      <c r="U849" s="7">
        <v>0.5838451906614921</v>
      </c>
    </row>
    <row r="850" spans="19:21" x14ac:dyDescent="0.25">
      <c r="S850" s="11">
        <v>832</v>
      </c>
      <c r="T850" s="4">
        <v>165.04067383140148</v>
      </c>
      <c r="U850" s="7">
        <v>0.231003757972712</v>
      </c>
    </row>
    <row r="851" spans="19:21" x14ac:dyDescent="0.25">
      <c r="S851" s="11">
        <v>833</v>
      </c>
      <c r="T851" s="4">
        <v>171.52290596476885</v>
      </c>
      <c r="U851" s="7">
        <v>0.27935336738098648</v>
      </c>
    </row>
    <row r="852" spans="19:21" x14ac:dyDescent="0.25">
      <c r="S852" s="11">
        <v>834</v>
      </c>
      <c r="T852" s="4">
        <v>147.63938647423115</v>
      </c>
      <c r="U852" s="7">
        <v>0.10121120664004746</v>
      </c>
    </row>
    <row r="853" spans="19:21" x14ac:dyDescent="0.25">
      <c r="S853" s="11">
        <v>835</v>
      </c>
      <c r="T853" s="4">
        <v>177.96572417007764</v>
      </c>
      <c r="U853" s="7">
        <v>0.3274089965695357</v>
      </c>
    </row>
    <row r="854" spans="19:21" x14ac:dyDescent="0.25">
      <c r="S854" s="11">
        <v>836</v>
      </c>
      <c r="T854" s="4">
        <v>133.22487089764951</v>
      </c>
      <c r="U854" s="7">
        <v>-6.3036406530206923E-3</v>
      </c>
    </row>
    <row r="855" spans="19:21" x14ac:dyDescent="0.25">
      <c r="S855" s="11">
        <v>837</v>
      </c>
      <c r="T855" s="4">
        <v>140.11660056180267</v>
      </c>
      <c r="U855" s="7">
        <v>4.5100324918346146E-2</v>
      </c>
    </row>
    <row r="856" spans="19:21" x14ac:dyDescent="0.25">
      <c r="S856" s="11">
        <v>838</v>
      </c>
      <c r="T856" s="4">
        <v>149.03609476613724</v>
      </c>
      <c r="U856" s="7">
        <v>0.11162896073795214</v>
      </c>
    </row>
    <row r="857" spans="19:21" x14ac:dyDescent="0.25">
      <c r="S857" s="11">
        <v>839</v>
      </c>
      <c r="T857" s="4">
        <v>176.95230173923721</v>
      </c>
      <c r="U857" s="7">
        <v>0.31985009128990249</v>
      </c>
    </row>
    <row r="858" spans="19:21" x14ac:dyDescent="0.25">
      <c r="S858" s="11">
        <v>840</v>
      </c>
      <c r="T858" s="4">
        <v>147.90039371905334</v>
      </c>
      <c r="U858" s="7">
        <v>0.10315800491574056</v>
      </c>
    </row>
    <row r="859" spans="19:21" x14ac:dyDescent="0.25">
      <c r="S859" s="11">
        <v>841</v>
      </c>
      <c r="T859" s="4">
        <v>154.14310776228305</v>
      </c>
      <c r="U859" s="7">
        <v>0.1497210991443505</v>
      </c>
    </row>
    <row r="860" spans="19:21" x14ac:dyDescent="0.25">
      <c r="S860" s="11">
        <v>842</v>
      </c>
      <c r="T860" s="4">
        <v>138.17408149031112</v>
      </c>
      <c r="U860" s="7">
        <v>3.0611482735221296E-2</v>
      </c>
    </row>
    <row r="861" spans="19:21" x14ac:dyDescent="0.25">
      <c r="S861" s="11">
        <v>843</v>
      </c>
      <c r="T861" s="4">
        <v>170.60304744594833</v>
      </c>
      <c r="U861" s="7">
        <v>0.27249233568992581</v>
      </c>
    </row>
    <row r="862" spans="19:21" x14ac:dyDescent="0.25">
      <c r="S862" s="11">
        <v>844</v>
      </c>
      <c r="T862" s="4">
        <v>162.00223399333385</v>
      </c>
      <c r="U862" s="7">
        <v>0.20834067273315315</v>
      </c>
    </row>
    <row r="863" spans="19:21" x14ac:dyDescent="0.25">
      <c r="S863" s="11">
        <v>845</v>
      </c>
      <c r="T863" s="4">
        <v>153.46706067787002</v>
      </c>
      <c r="U863" s="7">
        <v>0.14467860578705172</v>
      </c>
    </row>
    <row r="864" spans="19:21" x14ac:dyDescent="0.25">
      <c r="S864" s="11">
        <v>846</v>
      </c>
      <c r="T864" s="4">
        <v>170.02754055827296</v>
      </c>
      <c r="U864" s="7">
        <v>0.26819975056517475</v>
      </c>
    </row>
    <row r="865" spans="19:21" x14ac:dyDescent="0.25">
      <c r="S865" s="11">
        <v>847</v>
      </c>
      <c r="T865" s="4">
        <v>161.90069527099311</v>
      </c>
      <c r="U865" s="7">
        <v>0.20758331670763863</v>
      </c>
    </row>
    <row r="866" spans="19:21" x14ac:dyDescent="0.25">
      <c r="S866" s="11">
        <v>848</v>
      </c>
      <c r="T866" s="4">
        <v>203.79975010880668</v>
      </c>
      <c r="U866" s="7">
        <v>0.52009957566052578</v>
      </c>
    </row>
    <row r="867" spans="19:21" x14ac:dyDescent="0.25">
      <c r="S867" s="11">
        <v>849</v>
      </c>
      <c r="T867" s="4">
        <v>142.69297020126592</v>
      </c>
      <c r="U867" s="7">
        <v>6.4316925496128441E-2</v>
      </c>
    </row>
    <row r="868" spans="19:21" x14ac:dyDescent="0.25">
      <c r="S868" s="11">
        <v>850</v>
      </c>
      <c r="T868" s="4">
        <v>143.56694163133798</v>
      </c>
      <c r="U868" s="7">
        <v>7.083569502004905E-2</v>
      </c>
    </row>
    <row r="869" spans="19:21" x14ac:dyDescent="0.25">
      <c r="S869" s="11">
        <v>851</v>
      </c>
      <c r="T869" s="4">
        <v>128.48825532587884</v>
      </c>
      <c r="U869" s="7">
        <v>-4.1633062386224773E-2</v>
      </c>
    </row>
    <row r="870" spans="19:21" x14ac:dyDescent="0.25">
      <c r="S870" s="11">
        <v>852</v>
      </c>
      <c r="T870" s="4">
        <v>156.99220846050355</v>
      </c>
      <c r="U870" s="7">
        <v>0.17097194346612632</v>
      </c>
    </row>
    <row r="871" spans="19:21" x14ac:dyDescent="0.25">
      <c r="S871" s="11">
        <v>853</v>
      </c>
      <c r="T871" s="4">
        <v>151.95124963283129</v>
      </c>
      <c r="U871" s="7">
        <v>0.13337248924316625</v>
      </c>
    </row>
    <row r="872" spans="19:21" x14ac:dyDescent="0.25">
      <c r="S872" s="11">
        <v>854</v>
      </c>
      <c r="T872" s="4">
        <v>162.14712976925961</v>
      </c>
      <c r="U872" s="7">
        <v>0.20942141992436492</v>
      </c>
    </row>
    <row r="873" spans="19:21" x14ac:dyDescent="0.25">
      <c r="S873" s="11">
        <v>855</v>
      </c>
      <c r="T873" s="4">
        <v>176.46267946867343</v>
      </c>
      <c r="U873" s="7">
        <v>0.31619810150423988</v>
      </c>
    </row>
    <row r="874" spans="19:21" x14ac:dyDescent="0.25">
      <c r="S874" s="11">
        <v>856</v>
      </c>
      <c r="T874" s="4">
        <v>131.05443687343526</v>
      </c>
      <c r="U874" s="7">
        <v>-2.2492452648353312E-2</v>
      </c>
    </row>
    <row r="875" spans="19:21" x14ac:dyDescent="0.25">
      <c r="S875" s="11">
        <v>857</v>
      </c>
      <c r="T875" s="4">
        <v>129.96278528439905</v>
      </c>
      <c r="U875" s="7">
        <v>-3.0634852805258017E-2</v>
      </c>
    </row>
    <row r="876" spans="19:21" x14ac:dyDescent="0.25">
      <c r="S876" s="11">
        <v>858</v>
      </c>
      <c r="T876" s="4">
        <v>181.80214930943953</v>
      </c>
      <c r="U876" s="7">
        <v>0.35602408674154939</v>
      </c>
    </row>
    <row r="877" spans="19:21" x14ac:dyDescent="0.25">
      <c r="S877" s="11">
        <v>859</v>
      </c>
      <c r="T877" s="4">
        <v>122.71762777289491</v>
      </c>
      <c r="U877" s="7">
        <v>-8.4674962535280618E-2</v>
      </c>
    </row>
    <row r="878" spans="19:21" x14ac:dyDescent="0.25">
      <c r="S878" s="11">
        <v>860</v>
      </c>
      <c r="T878" s="4">
        <v>128.76979471999206</v>
      </c>
      <c r="U878" s="7">
        <v>-3.9533119116938353E-2</v>
      </c>
    </row>
    <row r="879" spans="19:21" x14ac:dyDescent="0.25">
      <c r="S879" s="11">
        <v>861</v>
      </c>
      <c r="T879" s="4">
        <v>148.21841752631502</v>
      </c>
      <c r="U879" s="7">
        <v>0.10553007776769618</v>
      </c>
    </row>
    <row r="880" spans="19:21" x14ac:dyDescent="0.25">
      <c r="S880" s="11">
        <v>862</v>
      </c>
      <c r="T880" s="4">
        <v>125.39645683621379</v>
      </c>
      <c r="U880" s="7">
        <v>-6.4694138612562124E-2</v>
      </c>
    </row>
    <row r="881" spans="19:21" x14ac:dyDescent="0.25">
      <c r="S881" s="11">
        <v>863</v>
      </c>
      <c r="T881" s="4">
        <v>176.90849096074555</v>
      </c>
      <c r="U881" s="7">
        <v>0.31952331588532523</v>
      </c>
    </row>
    <row r="882" spans="19:21" x14ac:dyDescent="0.25">
      <c r="S882" s="11">
        <v>864</v>
      </c>
      <c r="T882" s="4">
        <v>137.8097143388845</v>
      </c>
      <c r="U882" s="7">
        <v>2.7893744602703885E-2</v>
      </c>
    </row>
    <row r="883" spans="19:21" x14ac:dyDescent="0.25">
      <c r="S883" s="11">
        <v>865</v>
      </c>
      <c r="T883" s="4">
        <v>181.27755390252173</v>
      </c>
      <c r="U883" s="7">
        <v>0.35211123966973767</v>
      </c>
    </row>
    <row r="884" spans="19:21" x14ac:dyDescent="0.25">
      <c r="S884" s="11">
        <v>866</v>
      </c>
      <c r="T884" s="4">
        <v>181.05897967937173</v>
      </c>
      <c r="U884" s="7">
        <v>0.35048094039958033</v>
      </c>
    </row>
    <row r="885" spans="19:21" x14ac:dyDescent="0.25">
      <c r="S885" s="11">
        <v>867</v>
      </c>
      <c r="T885" s="4">
        <v>145.45705029966268</v>
      </c>
      <c r="U885" s="7">
        <v>8.493361900248142E-2</v>
      </c>
    </row>
    <row r="886" spans="19:21" x14ac:dyDescent="0.25">
      <c r="S886" s="11">
        <v>868</v>
      </c>
      <c r="T886" s="4">
        <v>117.99487925837268</v>
      </c>
      <c r="U886" s="7">
        <v>-0.11990095279799595</v>
      </c>
    </row>
    <row r="887" spans="19:21" x14ac:dyDescent="0.25">
      <c r="S887" s="11">
        <v>869</v>
      </c>
      <c r="T887" s="4">
        <v>155.6482395462977</v>
      </c>
      <c r="U887" s="7">
        <v>0.16094756132093457</v>
      </c>
    </row>
    <row r="888" spans="19:21" x14ac:dyDescent="0.25">
      <c r="S888" s="11">
        <v>870</v>
      </c>
      <c r="T888" s="4">
        <v>142.7351098829983</v>
      </c>
      <c r="U888" s="7">
        <v>6.4631236540600545E-2</v>
      </c>
    </row>
    <row r="889" spans="19:21" x14ac:dyDescent="0.25">
      <c r="S889" s="11">
        <v>871</v>
      </c>
      <c r="T889" s="4">
        <v>153.33215838849608</v>
      </c>
      <c r="U889" s="7">
        <v>0.143672397915239</v>
      </c>
    </row>
    <row r="890" spans="19:21" x14ac:dyDescent="0.25">
      <c r="S890" s="11">
        <v>872</v>
      </c>
      <c r="T890" s="4">
        <v>119.5291570558669</v>
      </c>
      <c r="U890" s="7">
        <v>-0.10845709662216074</v>
      </c>
    </row>
    <row r="891" spans="19:21" x14ac:dyDescent="0.25">
      <c r="S891" s="11">
        <v>873</v>
      </c>
      <c r="T891" s="4">
        <v>155.6013215179328</v>
      </c>
      <c r="U891" s="7">
        <v>0.16059760959150293</v>
      </c>
    </row>
    <row r="892" spans="19:21" x14ac:dyDescent="0.25">
      <c r="S892" s="11">
        <v>874</v>
      </c>
      <c r="T892" s="4">
        <v>156.18650803279405</v>
      </c>
      <c r="U892" s="7">
        <v>0.164962393024495</v>
      </c>
    </row>
    <row r="893" spans="19:21" x14ac:dyDescent="0.25">
      <c r="S893" s="11">
        <v>875</v>
      </c>
      <c r="T893" s="4">
        <v>145.45288446533706</v>
      </c>
      <c r="U893" s="7">
        <v>8.4902546918304456E-2</v>
      </c>
    </row>
    <row r="894" spans="19:21" x14ac:dyDescent="0.25">
      <c r="S894" s="11">
        <v>876</v>
      </c>
      <c r="T894" s="4">
        <v>174.44505503711403</v>
      </c>
      <c r="U894" s="7">
        <v>0.30114906419865761</v>
      </c>
    </row>
    <row r="895" spans="19:21" x14ac:dyDescent="0.25">
      <c r="S895" s="11">
        <v>877</v>
      </c>
      <c r="T895" s="4">
        <v>118.98546124907131</v>
      </c>
      <c r="U895" s="7">
        <v>-0.11251240956909592</v>
      </c>
    </row>
    <row r="896" spans="19:21" x14ac:dyDescent="0.25">
      <c r="S896" s="11">
        <v>878</v>
      </c>
      <c r="T896" s="4">
        <v>158.52795755734138</v>
      </c>
      <c r="U896" s="7">
        <v>0.18242677375506378</v>
      </c>
    </row>
    <row r="897" spans="19:21" x14ac:dyDescent="0.25">
      <c r="S897" s="11">
        <v>879</v>
      </c>
      <c r="T897" s="4">
        <v>173.0494764693332</v>
      </c>
      <c r="U897" s="7">
        <v>0.2907397364759694</v>
      </c>
    </row>
    <row r="898" spans="19:21" x14ac:dyDescent="0.25">
      <c r="S898" s="11">
        <v>880</v>
      </c>
      <c r="T898" s="4">
        <v>166.02190335415861</v>
      </c>
      <c r="U898" s="7">
        <v>0.23832254310553158</v>
      </c>
    </row>
    <row r="899" spans="19:21" x14ac:dyDescent="0.25">
      <c r="S899" s="11">
        <v>881</v>
      </c>
      <c r="T899" s="4">
        <v>161.39397871470572</v>
      </c>
      <c r="U899" s="7">
        <v>0.20380382423141441</v>
      </c>
    </row>
    <row r="900" spans="19:21" x14ac:dyDescent="0.25">
      <c r="S900" s="11">
        <v>882</v>
      </c>
      <c r="T900" s="4">
        <v>150.35328682755664</v>
      </c>
      <c r="U900" s="7">
        <v>0.12145361995641579</v>
      </c>
    </row>
    <row r="901" spans="19:21" x14ac:dyDescent="0.25">
      <c r="S901" s="11">
        <v>883</v>
      </c>
      <c r="T901" s="4">
        <v>136.021437767446</v>
      </c>
      <c r="U901" s="7">
        <v>1.4555364864966114E-2</v>
      </c>
    </row>
    <row r="902" spans="19:21" x14ac:dyDescent="0.25">
      <c r="S902" s="11">
        <v>884</v>
      </c>
      <c r="T902" s="4">
        <v>158.80031798158129</v>
      </c>
      <c r="U902" s="7">
        <v>0.18445825301395757</v>
      </c>
    </row>
    <row r="903" spans="19:21" x14ac:dyDescent="0.25">
      <c r="S903" s="11">
        <v>885</v>
      </c>
      <c r="T903" s="4">
        <v>199.10405594819818</v>
      </c>
      <c r="U903" s="7">
        <v>0.48507537814722301</v>
      </c>
    </row>
    <row r="904" spans="19:21" x14ac:dyDescent="0.25">
      <c r="S904" s="11">
        <v>886</v>
      </c>
      <c r="T904" s="4">
        <v>131.72498040732134</v>
      </c>
      <c r="U904" s="7">
        <v>-1.7491009119703582E-2</v>
      </c>
    </row>
    <row r="905" spans="19:21" x14ac:dyDescent="0.25">
      <c r="S905" s="11">
        <v>887</v>
      </c>
      <c r="T905" s="4">
        <v>158.87100935807894</v>
      </c>
      <c r="U905" s="7">
        <v>0.18498552515908817</v>
      </c>
    </row>
    <row r="906" spans="19:21" x14ac:dyDescent="0.25">
      <c r="S906" s="11">
        <v>888</v>
      </c>
      <c r="T906" s="4">
        <v>169.1518934948935</v>
      </c>
      <c r="U906" s="7">
        <v>0.26166848284398836</v>
      </c>
    </row>
    <row r="907" spans="19:21" x14ac:dyDescent="0.25">
      <c r="S907" s="11">
        <v>889</v>
      </c>
      <c r="T907" s="4">
        <v>160.16204609179132</v>
      </c>
      <c r="U907" s="7">
        <v>0.19461509727598525</v>
      </c>
    </row>
    <row r="908" spans="19:21" x14ac:dyDescent="0.25">
      <c r="S908" s="11">
        <v>890</v>
      </c>
      <c r="T908" s="4">
        <v>153.29580781746787</v>
      </c>
      <c r="U908" s="7">
        <v>0.14340126663286257</v>
      </c>
    </row>
    <row r="909" spans="19:21" x14ac:dyDescent="0.25">
      <c r="S909" s="11">
        <v>891</v>
      </c>
      <c r="T909" s="4">
        <v>169.12726313072557</v>
      </c>
      <c r="U909" s="7">
        <v>0.26148477012549853</v>
      </c>
    </row>
    <row r="910" spans="19:21" x14ac:dyDescent="0.25">
      <c r="S910" s="11">
        <v>892</v>
      </c>
      <c r="T910" s="4">
        <v>128.13553165726896</v>
      </c>
      <c r="U910" s="7">
        <v>-4.4263954223398461E-2</v>
      </c>
    </row>
    <row r="911" spans="19:21" x14ac:dyDescent="0.25">
      <c r="S911" s="11">
        <v>893</v>
      </c>
      <c r="T911" s="4">
        <v>155.04025597531378</v>
      </c>
      <c r="U911" s="7">
        <v>0.1564127394295054</v>
      </c>
    </row>
    <row r="912" spans="19:21" x14ac:dyDescent="0.25">
      <c r="S912" s="11">
        <v>894</v>
      </c>
      <c r="T912" s="4">
        <v>162.34064167337081</v>
      </c>
      <c r="U912" s="7">
        <v>0.2108647846152818</v>
      </c>
    </row>
    <row r="913" spans="19:21" x14ac:dyDescent="0.25">
      <c r="S913" s="11">
        <v>895</v>
      </c>
      <c r="T913" s="4">
        <v>192.66070290519261</v>
      </c>
      <c r="U913" s="7">
        <v>0.43701575971651097</v>
      </c>
    </row>
    <row r="914" spans="19:21" x14ac:dyDescent="0.25">
      <c r="S914" s="11">
        <v>896</v>
      </c>
      <c r="T914" s="4">
        <v>191.04326621740566</v>
      </c>
      <c r="U914" s="7">
        <v>0.4249516388260286</v>
      </c>
    </row>
    <row r="915" spans="19:21" x14ac:dyDescent="0.25">
      <c r="S915" s="11">
        <v>897</v>
      </c>
      <c r="T915" s="4">
        <v>149.91257376662222</v>
      </c>
      <c r="U915" s="7">
        <v>0.11816643370345514</v>
      </c>
    </row>
    <row r="916" spans="19:21" x14ac:dyDescent="0.25">
      <c r="S916" s="11">
        <v>898</v>
      </c>
      <c r="T916" s="4">
        <v>150.3465979515841</v>
      </c>
      <c r="U916" s="7">
        <v>0.12140372903396823</v>
      </c>
    </row>
    <row r="917" spans="19:21" x14ac:dyDescent="0.25">
      <c r="S917" s="11">
        <v>899</v>
      </c>
      <c r="T917" s="4">
        <v>115.04777967327105</v>
      </c>
      <c r="U917" s="7">
        <v>-0.1418827502553065</v>
      </c>
    </row>
    <row r="918" spans="19:21" x14ac:dyDescent="0.25">
      <c r="S918" s="11">
        <v>900</v>
      </c>
      <c r="T918" s="4">
        <v>158.04652247490051</v>
      </c>
      <c r="U918" s="7">
        <v>0.1788358504878087</v>
      </c>
    </row>
    <row r="919" spans="19:21" x14ac:dyDescent="0.25">
      <c r="S919" s="11">
        <v>901</v>
      </c>
      <c r="T919" s="4">
        <v>143.30328572195396</v>
      </c>
      <c r="U919" s="7">
        <v>6.8869140911120841E-2</v>
      </c>
    </row>
    <row r="920" spans="19:21" x14ac:dyDescent="0.25">
      <c r="S920" s="11">
        <v>902</v>
      </c>
      <c r="T920" s="4">
        <v>139.20227573738265</v>
      </c>
      <c r="U920" s="7">
        <v>3.8280567892762463E-2</v>
      </c>
    </row>
    <row r="921" spans="19:21" x14ac:dyDescent="0.25">
      <c r="S921" s="11">
        <v>903</v>
      </c>
      <c r="T921" s="4">
        <v>170.95495618898028</v>
      </c>
      <c r="U921" s="7">
        <v>0.27511714916819785</v>
      </c>
    </row>
    <row r="922" spans="19:21" x14ac:dyDescent="0.25">
      <c r="S922" s="11">
        <v>904</v>
      </c>
      <c r="T922" s="4">
        <v>144.19478581742436</v>
      </c>
      <c r="U922" s="7">
        <v>7.551865307245742E-2</v>
      </c>
    </row>
    <row r="923" spans="19:21" x14ac:dyDescent="0.25">
      <c r="S923" s="11">
        <v>905</v>
      </c>
      <c r="T923" s="4">
        <v>143.58381039621906</v>
      </c>
      <c r="U923" s="7">
        <v>7.0961515597964375E-2</v>
      </c>
    </row>
    <row r="924" spans="19:21" x14ac:dyDescent="0.25">
      <c r="S924" s="11">
        <v>906</v>
      </c>
      <c r="T924" s="4">
        <v>154.2551303380219</v>
      </c>
      <c r="U924" s="7">
        <v>0.15055665203268376</v>
      </c>
    </row>
    <row r="925" spans="19:21" x14ac:dyDescent="0.25">
      <c r="S925" s="11">
        <v>907</v>
      </c>
      <c r="T925" s="4">
        <v>162.37364139342031</v>
      </c>
      <c r="U925" s="7">
        <v>0.21111092260326925</v>
      </c>
    </row>
    <row r="926" spans="19:21" x14ac:dyDescent="0.25">
      <c r="S926" s="11">
        <v>908</v>
      </c>
      <c r="T926" s="4">
        <v>140.76233621522209</v>
      </c>
      <c r="U926" s="7">
        <v>4.9916731671679759E-2</v>
      </c>
    </row>
    <row r="927" spans="19:21" x14ac:dyDescent="0.25">
      <c r="S927" s="11">
        <v>909</v>
      </c>
      <c r="T927" s="4">
        <v>135.49798837762421</v>
      </c>
      <c r="U927" s="7">
        <v>1.065106569422114E-2</v>
      </c>
    </row>
    <row r="928" spans="19:21" x14ac:dyDescent="0.25">
      <c r="S928" s="11">
        <v>910</v>
      </c>
      <c r="T928" s="4">
        <v>201.99368669304306</v>
      </c>
      <c r="U928" s="7">
        <v>0.50662852758292742</v>
      </c>
    </row>
    <row r="929" spans="19:21" x14ac:dyDescent="0.25">
      <c r="S929" s="11">
        <v>911</v>
      </c>
      <c r="T929" s="4">
        <v>157.09277083975905</v>
      </c>
      <c r="U929" s="7">
        <v>0.17172201715342039</v>
      </c>
    </row>
    <row r="930" spans="19:21" x14ac:dyDescent="0.25">
      <c r="S930" s="11">
        <v>912</v>
      </c>
      <c r="T930" s="4">
        <v>141.40474041712685</v>
      </c>
      <c r="U930" s="7">
        <v>5.4708289827156253E-2</v>
      </c>
    </row>
    <row r="931" spans="19:21" x14ac:dyDescent="0.25">
      <c r="S931" s="11">
        <v>913</v>
      </c>
      <c r="T931" s="4">
        <v>119.08944386900369</v>
      </c>
      <c r="U931" s="7">
        <v>-0.11173682502421356</v>
      </c>
    </row>
    <row r="932" spans="19:21" x14ac:dyDescent="0.25">
      <c r="S932" s="11">
        <v>914</v>
      </c>
      <c r="T932" s="4">
        <v>132.92602630293081</v>
      </c>
      <c r="U932" s="7">
        <v>-8.5326597827193318E-3</v>
      </c>
    </row>
    <row r="933" spans="19:21" x14ac:dyDescent="0.25">
      <c r="S933" s="11">
        <v>915</v>
      </c>
      <c r="T933" s="4">
        <v>125.46118201041871</v>
      </c>
      <c r="U933" s="7">
        <v>-6.4211367118529705E-2</v>
      </c>
    </row>
    <row r="934" spans="19:21" x14ac:dyDescent="0.25">
      <c r="S934" s="11">
        <v>916</v>
      </c>
      <c r="T934" s="4">
        <v>136.96188907817336</v>
      </c>
      <c r="U934" s="7">
        <v>2.1569993870167448E-2</v>
      </c>
    </row>
    <row r="935" spans="19:21" x14ac:dyDescent="0.25">
      <c r="S935" s="11">
        <v>917</v>
      </c>
      <c r="T935" s="4">
        <v>127.8564010082264</v>
      </c>
      <c r="U935" s="7">
        <v>-4.6345931168595422E-2</v>
      </c>
    </row>
    <row r="936" spans="19:21" x14ac:dyDescent="0.25">
      <c r="S936" s="11">
        <v>918</v>
      </c>
      <c r="T936" s="4">
        <v>115.52511444354853</v>
      </c>
      <c r="U936" s="7">
        <v>-0.1383224103561681</v>
      </c>
    </row>
    <row r="937" spans="19:21" x14ac:dyDescent="0.25">
      <c r="S937" s="11">
        <v>919</v>
      </c>
      <c r="T937" s="4">
        <v>175.76192252478006</v>
      </c>
      <c r="U937" s="7">
        <v>0.31097130248959548</v>
      </c>
    </row>
    <row r="938" spans="19:21" x14ac:dyDescent="0.25">
      <c r="S938" s="11">
        <v>920</v>
      </c>
      <c r="T938" s="4">
        <v>166.22164180725269</v>
      </c>
      <c r="U938" s="7">
        <v>0.23981235031888337</v>
      </c>
    </row>
    <row r="939" spans="19:21" x14ac:dyDescent="0.25">
      <c r="S939" s="11">
        <v>921</v>
      </c>
      <c r="T939" s="4">
        <v>173.22929428040101</v>
      </c>
      <c r="U939" s="7">
        <v>0.29208095980011195</v>
      </c>
    </row>
    <row r="940" spans="19:21" x14ac:dyDescent="0.25">
      <c r="S940" s="11">
        <v>922</v>
      </c>
      <c r="T940" s="4">
        <v>184.68769753732394</v>
      </c>
      <c r="U940" s="7">
        <v>0.37754678553982202</v>
      </c>
    </row>
    <row r="941" spans="19:21" x14ac:dyDescent="0.25">
      <c r="S941" s="11">
        <v>923</v>
      </c>
      <c r="T941" s="4">
        <v>148.75473252149183</v>
      </c>
      <c r="U941" s="7">
        <v>0.10953033878937757</v>
      </c>
    </row>
    <row r="942" spans="19:21" x14ac:dyDescent="0.25">
      <c r="S942" s="11">
        <v>924</v>
      </c>
      <c r="T942" s="4">
        <v>163.37897459225547</v>
      </c>
      <c r="U942" s="7">
        <v>0.21860949199862367</v>
      </c>
    </row>
    <row r="943" spans="19:21" x14ac:dyDescent="0.25">
      <c r="S943" s="11">
        <v>925</v>
      </c>
      <c r="T943" s="4">
        <v>127.28432946165094</v>
      </c>
      <c r="U943" s="7">
        <v>-5.0612892804871024E-2</v>
      </c>
    </row>
    <row r="944" spans="19:21" x14ac:dyDescent="0.25">
      <c r="S944" s="11">
        <v>926</v>
      </c>
      <c r="T944" s="4">
        <v>176.8998957607316</v>
      </c>
      <c r="U944" s="7">
        <v>0.31945920609182976</v>
      </c>
    </row>
    <row r="945" spans="19:21" x14ac:dyDescent="0.25">
      <c r="S945" s="11">
        <v>927</v>
      </c>
      <c r="T945" s="4">
        <v>142.44336507219947</v>
      </c>
      <c r="U945" s="7">
        <v>6.2455173209513548E-2</v>
      </c>
    </row>
    <row r="946" spans="19:21" x14ac:dyDescent="0.25">
      <c r="S946" s="11">
        <v>928</v>
      </c>
      <c r="T946" s="4">
        <v>164.07512844720705</v>
      </c>
      <c r="U946" s="7">
        <v>0.22380195753865184</v>
      </c>
    </row>
    <row r="947" spans="19:21" x14ac:dyDescent="0.25">
      <c r="S947" s="11">
        <v>929</v>
      </c>
      <c r="T947" s="4">
        <v>153.80597851744366</v>
      </c>
      <c r="U947" s="7">
        <v>0.14720652284212488</v>
      </c>
    </row>
    <row r="948" spans="19:21" x14ac:dyDescent="0.25">
      <c r="S948" s="11">
        <v>930</v>
      </c>
      <c r="T948" s="4">
        <v>174.14240814111747</v>
      </c>
      <c r="U948" s="7">
        <v>0.29889168450151016</v>
      </c>
    </row>
    <row r="949" spans="19:21" x14ac:dyDescent="0.25">
      <c r="S949" s="11">
        <v>931</v>
      </c>
      <c r="T949" s="4">
        <v>175.57620039637021</v>
      </c>
      <c r="U949" s="7">
        <v>0.30958604010121737</v>
      </c>
    </row>
    <row r="950" spans="19:21" x14ac:dyDescent="0.25">
      <c r="S950" s="11">
        <v>932</v>
      </c>
      <c r="T950" s="4">
        <v>163.93620748461188</v>
      </c>
      <c r="U950" s="7">
        <v>0.2227657752264629</v>
      </c>
    </row>
    <row r="951" spans="19:21" x14ac:dyDescent="0.25">
      <c r="S951" s="11">
        <v>933</v>
      </c>
      <c r="T951" s="4">
        <v>108.10476661868458</v>
      </c>
      <c r="U951" s="7">
        <v>-0.1936692278758515</v>
      </c>
    </row>
    <row r="952" spans="19:21" x14ac:dyDescent="0.25">
      <c r="S952" s="11">
        <v>934</v>
      </c>
      <c r="T952" s="4">
        <v>164.07961682557419</v>
      </c>
      <c r="U952" s="7">
        <v>0.2238354354111598</v>
      </c>
    </row>
    <row r="953" spans="19:21" x14ac:dyDescent="0.25">
      <c r="S953" s="11">
        <v>935</v>
      </c>
      <c r="T953" s="4">
        <v>128.84375923196859</v>
      </c>
      <c r="U953" s="7">
        <v>-3.8981433341026328E-2</v>
      </c>
    </row>
    <row r="954" spans="19:21" x14ac:dyDescent="0.25">
      <c r="S954" s="11">
        <v>936</v>
      </c>
      <c r="T954" s="4">
        <v>135.41484838648691</v>
      </c>
      <c r="U954" s="7">
        <v>1.0030941944409122E-2</v>
      </c>
    </row>
    <row r="955" spans="19:21" x14ac:dyDescent="0.25">
      <c r="S955" s="11">
        <v>937</v>
      </c>
      <c r="T955" s="4">
        <v>166.6975788927177</v>
      </c>
      <c r="U955" s="7">
        <v>0.24336226518026183</v>
      </c>
    </row>
    <row r="956" spans="19:21" x14ac:dyDescent="0.25">
      <c r="S956" s="11">
        <v>938</v>
      </c>
      <c r="T956" s="4">
        <v>137.40726723557069</v>
      </c>
      <c r="U956" s="7">
        <v>2.4891976098834201E-2</v>
      </c>
    </row>
    <row r="957" spans="19:21" x14ac:dyDescent="0.25">
      <c r="S957" s="11">
        <v>939</v>
      </c>
      <c r="T957" s="4">
        <v>148.04758719551592</v>
      </c>
      <c r="U957" s="7">
        <v>0.10425589017316272</v>
      </c>
    </row>
    <row r="958" spans="19:21" x14ac:dyDescent="0.25">
      <c r="S958" s="11">
        <v>940</v>
      </c>
      <c r="T958" s="4">
        <v>174.38639409986502</v>
      </c>
      <c r="U958" s="7">
        <v>0.30071152457570682</v>
      </c>
    </row>
    <row r="959" spans="19:21" x14ac:dyDescent="0.25">
      <c r="S959" s="11">
        <v>941</v>
      </c>
      <c r="T959" s="4">
        <v>186.8969573027392</v>
      </c>
      <c r="U959" s="7">
        <v>0.39402519059252028</v>
      </c>
    </row>
    <row r="960" spans="19:21" x14ac:dyDescent="0.25">
      <c r="S960" s="11">
        <v>942</v>
      </c>
      <c r="T960" s="4">
        <v>144.55694014642225</v>
      </c>
      <c r="U960" s="7">
        <v>7.8219886226764013E-2</v>
      </c>
    </row>
    <row r="961" spans="19:21" x14ac:dyDescent="0.25">
      <c r="S961" s="11">
        <v>943</v>
      </c>
      <c r="T961" s="4">
        <v>184.12502539188392</v>
      </c>
      <c r="U961" s="7">
        <v>0.37334993206447331</v>
      </c>
    </row>
    <row r="962" spans="19:21" x14ac:dyDescent="0.25">
      <c r="S962" s="11">
        <v>944</v>
      </c>
      <c r="T962" s="4">
        <v>121.30944341253989</v>
      </c>
      <c r="U962" s="7">
        <v>-9.5178314219885873E-2</v>
      </c>
    </row>
    <row r="963" spans="19:21" x14ac:dyDescent="0.25">
      <c r="S963" s="11">
        <v>945</v>
      </c>
      <c r="T963" s="4">
        <v>152.83827588597913</v>
      </c>
      <c r="U963" s="7">
        <v>0.13998863195330147</v>
      </c>
    </row>
    <row r="964" spans="19:21" x14ac:dyDescent="0.25">
      <c r="S964" s="11">
        <v>946</v>
      </c>
      <c r="T964" s="4">
        <v>104.71963351724254</v>
      </c>
      <c r="U964" s="7">
        <v>-0.21891822542520667</v>
      </c>
    </row>
    <row r="965" spans="19:21" x14ac:dyDescent="0.25">
      <c r="S965" s="11">
        <v>947</v>
      </c>
      <c r="T965" s="4">
        <v>110.47078896444361</v>
      </c>
      <c r="U965" s="7">
        <v>-0.17602156362763022</v>
      </c>
    </row>
    <row r="966" spans="19:21" x14ac:dyDescent="0.25">
      <c r="S966" s="11">
        <v>948</v>
      </c>
      <c r="T966" s="4">
        <v>159.75900823492319</v>
      </c>
      <c r="U966" s="7">
        <v>0.19160892246530326</v>
      </c>
    </row>
    <row r="967" spans="19:21" x14ac:dyDescent="0.25">
      <c r="S967" s="11">
        <v>949</v>
      </c>
      <c r="T967" s="4">
        <v>164.12056681455752</v>
      </c>
      <c r="U967" s="7">
        <v>0.2241408727870331</v>
      </c>
    </row>
    <row r="968" spans="19:21" x14ac:dyDescent="0.25">
      <c r="S968" s="11">
        <v>950</v>
      </c>
      <c r="T968" s="4">
        <v>142.75003210330158</v>
      </c>
      <c r="U968" s="7">
        <v>6.4742538250925463E-2</v>
      </c>
    </row>
    <row r="969" spans="19:21" x14ac:dyDescent="0.25">
      <c r="S969" s="11">
        <v>951</v>
      </c>
      <c r="T969" s="4">
        <v>165.55958164770982</v>
      </c>
      <c r="U969" s="7">
        <v>0.23487418249951397</v>
      </c>
    </row>
    <row r="970" spans="19:21" x14ac:dyDescent="0.25">
      <c r="S970" s="11">
        <v>952</v>
      </c>
      <c r="T970" s="4">
        <v>170.3906500362383</v>
      </c>
      <c r="U970" s="7">
        <v>0.27090810797522424</v>
      </c>
    </row>
    <row r="971" spans="19:21" x14ac:dyDescent="0.25">
      <c r="S971" s="11">
        <v>953</v>
      </c>
      <c r="T971" s="4">
        <v>125.18593860878944</v>
      </c>
      <c r="U971" s="7">
        <v>-6.6264349900876818E-2</v>
      </c>
    </row>
    <row r="972" spans="19:21" x14ac:dyDescent="0.25">
      <c r="S972" s="11">
        <v>954</v>
      </c>
      <c r="T972" s="4">
        <v>140.62346918975751</v>
      </c>
      <c r="U972" s="7">
        <v>4.8880951665231098E-2</v>
      </c>
    </row>
    <row r="973" spans="19:21" x14ac:dyDescent="0.25">
      <c r="S973" s="11">
        <v>955</v>
      </c>
      <c r="T973" s="4">
        <v>153.47209866032597</v>
      </c>
      <c r="U973" s="7">
        <v>0.14471618304114253</v>
      </c>
    </row>
    <row r="974" spans="19:21" x14ac:dyDescent="0.25">
      <c r="S974" s="11">
        <v>956</v>
      </c>
      <c r="T974" s="4">
        <v>141.23078857621854</v>
      </c>
      <c r="U974" s="7">
        <v>5.3410819543660448E-2</v>
      </c>
    </row>
    <row r="975" spans="19:21" x14ac:dyDescent="0.25">
      <c r="S975" s="11">
        <v>957</v>
      </c>
      <c r="T975" s="4">
        <v>166.31042360629033</v>
      </c>
      <c r="U975" s="7">
        <v>0.24047455513008376</v>
      </c>
    </row>
    <row r="976" spans="19:21" x14ac:dyDescent="0.25">
      <c r="S976" s="11">
        <v>958</v>
      </c>
      <c r="T976" s="4">
        <v>172.42664029688189</v>
      </c>
      <c r="U976" s="7">
        <v>0.2860941321465047</v>
      </c>
    </row>
    <row r="977" spans="19:21" x14ac:dyDescent="0.25">
      <c r="S977" s="11">
        <v>959</v>
      </c>
      <c r="T977" s="4">
        <v>163.76244592425962</v>
      </c>
      <c r="U977" s="7">
        <v>0.22146972420571065</v>
      </c>
    </row>
    <row r="978" spans="19:21" x14ac:dyDescent="0.25">
      <c r="S978" s="11">
        <v>960</v>
      </c>
      <c r="T978" s="4">
        <v>159.37178897073517</v>
      </c>
      <c r="U978" s="7">
        <v>0.18872073521843191</v>
      </c>
    </row>
    <row r="979" spans="19:21" x14ac:dyDescent="0.25">
      <c r="S979" s="11">
        <v>961</v>
      </c>
      <c r="T979" s="4">
        <v>147.91919160994991</v>
      </c>
      <c r="U979" s="7">
        <v>0.10329821443984422</v>
      </c>
    </row>
    <row r="980" spans="19:21" x14ac:dyDescent="0.25">
      <c r="S980" s="11">
        <v>962</v>
      </c>
      <c r="T980" s="4">
        <v>157.57508978167405</v>
      </c>
      <c r="U980" s="7">
        <v>0.17531953294304503</v>
      </c>
    </row>
    <row r="981" spans="19:21" x14ac:dyDescent="0.25">
      <c r="S981" s="11">
        <v>963</v>
      </c>
      <c r="T981" s="4">
        <v>163.31634927476597</v>
      </c>
      <c r="U981" s="7">
        <v>0.21814238289524868</v>
      </c>
    </row>
    <row r="982" spans="19:21" x14ac:dyDescent="0.25">
      <c r="S982" s="11">
        <v>964</v>
      </c>
      <c r="T982" s="4">
        <v>162.47885119215618</v>
      </c>
      <c r="U982" s="7">
        <v>0.21189566041736541</v>
      </c>
    </row>
    <row r="983" spans="19:21" x14ac:dyDescent="0.25">
      <c r="S983" s="11">
        <v>965</v>
      </c>
      <c r="T983" s="4">
        <v>146.40776955135851</v>
      </c>
      <c r="U983" s="7">
        <v>9.2024834424990765E-2</v>
      </c>
    </row>
    <row r="984" spans="19:21" x14ac:dyDescent="0.25">
      <c r="S984" s="11">
        <v>966</v>
      </c>
      <c r="T984" s="4">
        <v>143.71427693587532</v>
      </c>
      <c r="U984" s="7">
        <v>7.1934638143323015E-2</v>
      </c>
    </row>
    <row r="985" spans="19:21" x14ac:dyDescent="0.25">
      <c r="S985" s="11">
        <v>967</v>
      </c>
      <c r="T985" s="4">
        <v>145.99709371924561</v>
      </c>
      <c r="U985" s="7">
        <v>8.896168955952577E-2</v>
      </c>
    </row>
    <row r="986" spans="19:21" x14ac:dyDescent="0.25">
      <c r="S986" s="11">
        <v>968</v>
      </c>
      <c r="T986" s="4">
        <v>209.60870067140394</v>
      </c>
      <c r="U986" s="7">
        <v>0.56342731909751587</v>
      </c>
    </row>
    <row r="987" spans="19:21" x14ac:dyDescent="0.25">
      <c r="S987" s="11">
        <v>969</v>
      </c>
      <c r="T987" s="4">
        <v>138.83927714677233</v>
      </c>
      <c r="U987" s="7">
        <v>3.5573037568228161E-2</v>
      </c>
    </row>
    <row r="988" spans="19:21" x14ac:dyDescent="0.25">
      <c r="S988" s="11">
        <v>970</v>
      </c>
      <c r="T988" s="4">
        <v>148.79303367055604</v>
      </c>
      <c r="U988" s="7">
        <v>0.10981601902406246</v>
      </c>
    </row>
    <row r="989" spans="19:21" x14ac:dyDescent="0.25">
      <c r="S989" s="11">
        <v>971</v>
      </c>
      <c r="T989" s="4">
        <v>151.51202302461124</v>
      </c>
      <c r="U989" s="7">
        <v>0.130096390129121</v>
      </c>
    </row>
    <row r="990" spans="19:21" x14ac:dyDescent="0.25">
      <c r="S990" s="11">
        <v>972</v>
      </c>
      <c r="T990" s="4">
        <v>157.03404642714273</v>
      </c>
      <c r="U990" s="7">
        <v>0.17128400408102284</v>
      </c>
    </row>
    <row r="991" spans="19:21" x14ac:dyDescent="0.25">
      <c r="S991" s="11">
        <v>973</v>
      </c>
      <c r="T991" s="4">
        <v>144.58732333199947</v>
      </c>
      <c r="U991" s="7">
        <v>7.8446508033113149E-2</v>
      </c>
    </row>
    <row r="992" spans="19:21" x14ac:dyDescent="0.25">
      <c r="S992" s="11">
        <v>974</v>
      </c>
      <c r="T992" s="4">
        <v>146.22349740741981</v>
      </c>
      <c r="U992" s="7">
        <v>9.0650387166553381E-2</v>
      </c>
    </row>
    <row r="993" spans="19:21" x14ac:dyDescent="0.25">
      <c r="S993" s="11">
        <v>975</v>
      </c>
      <c r="T993" s="4">
        <v>127.989784155129</v>
      </c>
      <c r="U993" s="7">
        <v>-4.5351054261736357E-2</v>
      </c>
    </row>
    <row r="994" spans="19:21" x14ac:dyDescent="0.25">
      <c r="S994" s="11">
        <v>976</v>
      </c>
      <c r="T994" s="4">
        <v>129.92004323462902</v>
      </c>
      <c r="U994" s="7">
        <v>-3.0953656786536721E-2</v>
      </c>
    </row>
    <row r="995" spans="19:21" x14ac:dyDescent="0.25">
      <c r="S995" s="11">
        <v>977</v>
      </c>
      <c r="T995" s="4">
        <v>170.10794105197823</v>
      </c>
      <c r="U995" s="7">
        <v>0.26879944097843089</v>
      </c>
    </row>
    <row r="996" spans="19:21" x14ac:dyDescent="0.25">
      <c r="S996" s="11">
        <v>978</v>
      </c>
      <c r="T996" s="4">
        <v>183.43019687960526</v>
      </c>
      <c r="U996" s="7">
        <v>0.3681673519773645</v>
      </c>
    </row>
    <row r="997" spans="19:21" x14ac:dyDescent="0.25">
      <c r="S997" s="11">
        <v>979</v>
      </c>
      <c r="T997" s="4">
        <v>187.73370863709931</v>
      </c>
      <c r="U997" s="7">
        <v>0.4002663432318887</v>
      </c>
    </row>
    <row r="998" spans="19:21" x14ac:dyDescent="0.25">
      <c r="S998" s="11">
        <v>980</v>
      </c>
      <c r="T998" s="4">
        <v>143.48660413782903</v>
      </c>
      <c r="U998" s="7">
        <v>7.0236474512038738E-2</v>
      </c>
    </row>
    <row r="999" spans="19:21" x14ac:dyDescent="0.25">
      <c r="S999" s="11">
        <v>981</v>
      </c>
      <c r="T999" s="4">
        <v>154.6898283153501</v>
      </c>
      <c r="U999" s="7">
        <v>0.15379897303908496</v>
      </c>
    </row>
    <row r="1000" spans="19:21" x14ac:dyDescent="0.25">
      <c r="S1000" s="11">
        <v>982</v>
      </c>
      <c r="T1000" s="4">
        <v>157.53818735852946</v>
      </c>
      <c r="U1000" s="7">
        <v>0.17504428551151974</v>
      </c>
    </row>
    <row r="1001" spans="19:21" x14ac:dyDescent="0.25">
      <c r="S1001" s="11">
        <v>983</v>
      </c>
      <c r="T1001" s="4">
        <v>186.86899218812835</v>
      </c>
      <c r="U1001" s="7">
        <v>0.39381660467016011</v>
      </c>
    </row>
    <row r="1002" spans="19:21" x14ac:dyDescent="0.25">
      <c r="S1002" s="11">
        <v>984</v>
      </c>
      <c r="T1002" s="4">
        <v>211.71947903059149</v>
      </c>
      <c r="U1002" s="7">
        <v>0.5791711720041135</v>
      </c>
    </row>
    <row r="1003" spans="19:21" x14ac:dyDescent="0.25">
      <c r="S1003" s="11">
        <v>985</v>
      </c>
      <c r="T1003" s="4">
        <v>154.39639936046405</v>
      </c>
      <c r="U1003" s="7">
        <v>0.15161034803061124</v>
      </c>
    </row>
    <row r="1004" spans="19:21" x14ac:dyDescent="0.25">
      <c r="S1004" s="11">
        <v>986</v>
      </c>
      <c r="T1004" s="4">
        <v>159.46529861370448</v>
      </c>
      <c r="U1004" s="7">
        <v>0.18941820402554255</v>
      </c>
    </row>
    <row r="1005" spans="19:21" x14ac:dyDescent="0.25">
      <c r="S1005" s="11">
        <v>987</v>
      </c>
      <c r="T1005" s="4">
        <v>147.16596590555369</v>
      </c>
      <c r="U1005" s="7">
        <v>9.7680061949382502E-2</v>
      </c>
    </row>
    <row r="1006" spans="19:21" x14ac:dyDescent="0.25">
      <c r="S1006" s="11">
        <v>988</v>
      </c>
      <c r="T1006" s="4">
        <v>171.02662404179202</v>
      </c>
      <c r="U1006" s="7">
        <v>0.27565170464527511</v>
      </c>
    </row>
    <row r="1007" spans="19:21" x14ac:dyDescent="0.25">
      <c r="S1007" s="11">
        <v>989</v>
      </c>
      <c r="T1007" s="4">
        <v>142.6748447000827</v>
      </c>
      <c r="U1007" s="7">
        <v>6.4181731185818602E-2</v>
      </c>
    </row>
    <row r="1008" spans="19:21" x14ac:dyDescent="0.25">
      <c r="S1008" s="11">
        <v>990</v>
      </c>
      <c r="T1008" s="4">
        <v>179.81599152583956</v>
      </c>
      <c r="U1008" s="7">
        <v>0.34120975256089792</v>
      </c>
    </row>
    <row r="1009" spans="19:21" x14ac:dyDescent="0.25">
      <c r="S1009" s="11">
        <v>991</v>
      </c>
      <c r="T1009" s="4">
        <v>168.69394487350502</v>
      </c>
      <c r="U1009" s="7">
        <v>0.25825274016189326</v>
      </c>
    </row>
    <row r="1010" spans="19:21" x14ac:dyDescent="0.25">
      <c r="S1010" s="11">
        <v>992</v>
      </c>
      <c r="T1010" s="4">
        <v>138.29617584917318</v>
      </c>
      <c r="U1010" s="7">
        <v>3.1522158940651801E-2</v>
      </c>
    </row>
    <row r="1011" spans="19:21" x14ac:dyDescent="0.25">
      <c r="S1011" s="11">
        <v>993</v>
      </c>
      <c r="T1011" s="4">
        <v>116.92601731213466</v>
      </c>
      <c r="U1011" s="7">
        <v>-0.12787336979089525</v>
      </c>
    </row>
    <row r="1012" spans="19:21" x14ac:dyDescent="0.25">
      <c r="S1012" s="11">
        <v>994</v>
      </c>
      <c r="T1012" s="4">
        <v>160.33697285688962</v>
      </c>
      <c r="U1012" s="7">
        <v>0.19591983931445989</v>
      </c>
    </row>
    <row r="1013" spans="19:21" x14ac:dyDescent="0.25">
      <c r="S1013" s="11">
        <v>995</v>
      </c>
      <c r="T1013" s="4">
        <v>126.20843990737657</v>
      </c>
      <c r="U1013" s="7">
        <v>-5.8637727251610539E-2</v>
      </c>
    </row>
    <row r="1014" spans="19:21" x14ac:dyDescent="0.25">
      <c r="S1014" s="11">
        <v>996</v>
      </c>
      <c r="T1014" s="4">
        <v>157.80344702839636</v>
      </c>
      <c r="U1014" s="7">
        <v>0.17702280173339568</v>
      </c>
    </row>
    <row r="1015" spans="19:21" x14ac:dyDescent="0.25">
      <c r="S1015" s="11">
        <v>997</v>
      </c>
      <c r="T1015" s="4">
        <v>201.04282709410444</v>
      </c>
      <c r="U1015" s="7">
        <v>0.49953626533978102</v>
      </c>
    </row>
    <row r="1016" spans="19:21" x14ac:dyDescent="0.25">
      <c r="S1016" s="11">
        <v>998</v>
      </c>
      <c r="T1016" s="4">
        <v>118.84586064746563</v>
      </c>
      <c r="U1016" s="7">
        <v>-0.11355366116606525</v>
      </c>
    </row>
    <row r="1017" spans="19:21" x14ac:dyDescent="0.25">
      <c r="S1017" s="11">
        <v>999</v>
      </c>
      <c r="T1017" s="4">
        <v>150.99763395342305</v>
      </c>
      <c r="U1017" s="7">
        <v>0.12625966997406612</v>
      </c>
    </row>
    <row r="1018" spans="19:21" x14ac:dyDescent="0.25">
      <c r="S1018" s="11">
        <v>1000</v>
      </c>
      <c r="T1018" s="4">
        <v>222.97420266530744</v>
      </c>
      <c r="U1018" s="7">
        <v>0.66311779417697814</v>
      </c>
    </row>
  </sheetData>
  <sheetProtection sheet="1" objects="1" scenarios="1"/>
  <phoneticPr fontId="1" type="noConversion"/>
  <hyperlinks>
    <hyperlink ref="D2" location="TOC" display="Table of Contents" xr:uid="{ABDC0388-11B8-454B-AE56-B5A1C5F58D5E}"/>
  </hyperlink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18EC-4CED-449D-A3A7-FD05B982C645}">
  <sheetPr codeName="Sheet9">
    <tabColor theme="4" tint="0.59999389629810485"/>
  </sheetPr>
  <dimension ref="D2:I13"/>
  <sheetViews>
    <sheetView showGridLines="0" workbookViewId="0">
      <selection activeCell="I19" sqref="I19"/>
    </sheetView>
  </sheetViews>
  <sheetFormatPr defaultRowHeight="15" x14ac:dyDescent="0.25"/>
  <cols>
    <col min="1" max="3" width="1.7109375" style="11" customWidth="1"/>
    <col min="4" max="16384" width="9.140625" style="11"/>
  </cols>
  <sheetData>
    <row r="2" spans="4:9" x14ac:dyDescent="0.25">
      <c r="D2" s="54" t="s">
        <v>64</v>
      </c>
    </row>
    <row r="4" spans="4:9" ht="18.75" x14ac:dyDescent="0.3">
      <c r="D4" s="64" t="str">
        <f ca="1">MID(CELL("filename",A1),FIND("]",CELL("filename",A1))+1,255)</f>
        <v>Market Return</v>
      </c>
    </row>
    <row r="5" spans="4:9" x14ac:dyDescent="0.25">
      <c r="D5" s="39" t="s">
        <v>82</v>
      </c>
    </row>
    <row r="6" spans="4:9" x14ac:dyDescent="0.25">
      <c r="D6" s="11" t="s">
        <v>41</v>
      </c>
    </row>
    <row r="7" spans="4:9" x14ac:dyDescent="0.25">
      <c r="D7" s="11" t="s">
        <v>42</v>
      </c>
    </row>
    <row r="9" spans="4:9" x14ac:dyDescent="0.25">
      <c r="D9" s="40" t="s">
        <v>60</v>
      </c>
      <c r="E9" s="40"/>
      <c r="F9" s="40"/>
      <c r="G9" s="40"/>
      <c r="H9" s="40"/>
      <c r="I9" s="15" t="s">
        <v>11</v>
      </c>
    </row>
    <row r="10" spans="4:9" x14ac:dyDescent="0.25">
      <c r="D10" s="41" t="s">
        <v>57</v>
      </c>
      <c r="I10" s="19">
        <v>0.1</v>
      </c>
    </row>
    <row r="11" spans="4:9" x14ac:dyDescent="0.25">
      <c r="D11" s="41" t="s">
        <v>58</v>
      </c>
      <c r="I11" s="19">
        <v>0.105</v>
      </c>
    </row>
    <row r="12" spans="4:9" x14ac:dyDescent="0.25">
      <c r="D12" s="41" t="s">
        <v>59</v>
      </c>
      <c r="I12" s="19">
        <v>9.6000000000000002E-2</v>
      </c>
    </row>
    <row r="13" spans="4:9" ht="15.75" thickBot="1" x14ac:dyDescent="0.3">
      <c r="D13" s="42" t="s">
        <v>62</v>
      </c>
      <c r="E13" s="42"/>
      <c r="F13" s="42"/>
      <c r="G13" s="42"/>
      <c r="H13" s="42"/>
      <c r="I13" s="65">
        <f>AVERAGE(I10:I12)</f>
        <v>0.10033333333333334</v>
      </c>
    </row>
  </sheetData>
  <sheetProtection sheet="1" objects="1" scenarios="1"/>
  <hyperlinks>
    <hyperlink ref="D2" location="TOC" display="Table of Contents" xr:uid="{8C566099-DF7C-4895-858D-7FD47AEFDCB8}"/>
  </hyperlinks>
  <pageMargins left="0.7" right="0.7" top="0.75" bottom="0.75" header="0.3" footer="0.3"/>
  <pageSetup orientation="portrait" horizontalDpi="4294967294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BCD75-F6EF-4479-A434-A969CD0C0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About</vt:lpstr>
      <vt:lpstr>Assumptions</vt:lpstr>
      <vt:lpstr>Fund Allocation</vt:lpstr>
      <vt:lpstr>CURE</vt:lpstr>
      <vt:lpstr>IHF</vt:lpstr>
      <vt:lpstr>IHI</vt:lpstr>
      <vt:lpstr>RXL</vt:lpstr>
      <vt:lpstr>XLV</vt:lpstr>
      <vt:lpstr>Market Return</vt:lpstr>
      <vt:lpstr>TOC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</dc:creator>
  <cp:keywords>etf, investment, funds, healthcare</cp:keywords>
  <cp:lastModifiedBy>CS</cp:lastModifiedBy>
  <dcterms:created xsi:type="dcterms:W3CDTF">2022-01-12T22:38:05Z</dcterms:created>
  <dcterms:modified xsi:type="dcterms:W3CDTF">2022-01-25T17:15:25Z</dcterms:modified>
</cp:coreProperties>
</file>